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166925"/>
  <mc:AlternateContent xmlns:mc="http://schemas.openxmlformats.org/markup-compatibility/2006">
    <mc:Choice Requires="x15">
      <x15ac:absPath xmlns:x15ac="http://schemas.microsoft.com/office/spreadsheetml/2010/11/ac" url="/Users/deumenec/Documents/Uni/LACE/Gerard i Òscar/"/>
    </mc:Choice>
  </mc:AlternateContent>
  <xr:revisionPtr revIDLastSave="0" documentId="13_ncr:1_{B90AEE8C-6547-D547-8757-3D9E0C2BA823}" xr6:coauthVersionLast="47" xr6:coauthVersionMax="47" xr10:uidLastSave="{00000000-0000-0000-0000-000000000000}"/>
  <bookViews>
    <workbookView xWindow="0" yWindow="760" windowWidth="15120" windowHeight="18880" xr2:uid="{00000000-000D-0000-FFFF-FFFF00000000}"/>
  </bookViews>
  <sheets>
    <sheet name="Pràctica P" sheetId="1" r:id="rId1"/>
    <sheet name="Càlcul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85" i="1" l="1"/>
  <c r="S85" i="1"/>
  <c r="E85" i="1" l="1"/>
  <c r="B94" i="1"/>
  <c r="E94" i="1"/>
  <c r="E93" i="1"/>
  <c r="E92" i="1"/>
  <c r="E91" i="1"/>
  <c r="E90" i="1"/>
  <c r="E89" i="1"/>
  <c r="E88" i="1"/>
  <c r="E87" i="1"/>
  <c r="E86" i="1"/>
  <c r="B85" i="1"/>
  <c r="J83" i="1"/>
  <c r="M29" i="1"/>
  <c r="B78" i="1"/>
  <c r="B77" i="1"/>
  <c r="E55" i="1"/>
  <c r="E48" i="1"/>
  <c r="E49" i="1"/>
  <c r="B75" i="1"/>
  <c r="E65" i="1"/>
  <c r="E63" i="1"/>
  <c r="E66" i="1"/>
  <c r="B86" i="1"/>
  <c r="B76" i="1" l="1"/>
  <c r="I44" i="1"/>
  <c r="J84" i="1" l="1"/>
  <c r="V91" i="1" l="1"/>
  <c r="V92" i="1"/>
  <c r="S88" i="1"/>
  <c r="R86" i="1"/>
  <c r="R87" i="1"/>
  <c r="R88" i="1"/>
  <c r="R89" i="1"/>
  <c r="G86" i="1"/>
  <c r="G87" i="1"/>
  <c r="S87" i="1" s="1"/>
  <c r="G88" i="1"/>
  <c r="G89" i="1"/>
  <c r="S89" i="1" s="1"/>
  <c r="G90" i="1"/>
  <c r="G91" i="1"/>
  <c r="G92" i="1"/>
  <c r="G93" i="1"/>
  <c r="S86" i="1" s="1"/>
  <c r="V85" i="1" s="1" a="1"/>
  <c r="G94" i="1"/>
  <c r="G85" i="1"/>
  <c r="B87" i="1"/>
  <c r="B91" i="1"/>
  <c r="L83" i="1"/>
  <c r="B88" i="1"/>
  <c r="H20" i="1"/>
  <c r="H21" i="1"/>
  <c r="H22" i="1"/>
  <c r="H19" i="1"/>
  <c r="E64" i="1"/>
  <c r="B55" i="1"/>
  <c r="V85" i="1" l="1"/>
  <c r="V93" i="1"/>
  <c r="B90" i="1"/>
  <c r="B93" i="1"/>
  <c r="B89" i="1"/>
  <c r="B92" i="1"/>
  <c r="E42" i="1"/>
  <c r="E40" i="1"/>
  <c r="D39" i="1"/>
  <c r="A41" i="1" s="1"/>
  <c r="D41" i="1" s="1"/>
  <c r="E38" i="1"/>
  <c r="D38" i="1"/>
  <c r="A40" i="1"/>
  <c r="A42" i="1" s="1"/>
  <c r="D42" i="1" s="1"/>
  <c r="I43" i="1" l="1"/>
  <c r="D40" i="1"/>
  <c r="I37" i="1" s="1" a="1"/>
  <c r="D14" i="1"/>
  <c r="D15" i="1"/>
  <c r="A17" i="1" s="1"/>
  <c r="D17" i="1" s="1"/>
  <c r="D13" i="1"/>
  <c r="I37" i="1" l="1"/>
  <c r="D55" i="1"/>
  <c r="I45" i="1"/>
  <c r="G15" i="1"/>
  <c r="G17" i="1"/>
  <c r="G22" i="1"/>
  <c r="F14" i="1"/>
  <c r="F15" i="1"/>
  <c r="F17" i="1"/>
  <c r="F13" i="1"/>
  <c r="E21" i="1"/>
  <c r="E20" i="1"/>
  <c r="E19" i="1"/>
  <c r="E18" i="1"/>
  <c r="E16" i="1"/>
  <c r="G16" i="1" s="1"/>
  <c r="E14" i="1"/>
  <c r="G14" i="1" s="1"/>
  <c r="E13" i="1"/>
  <c r="G13" i="1" s="1"/>
  <c r="A16" i="1"/>
  <c r="G21" i="1" l="1"/>
  <c r="G20" i="1"/>
  <c r="G19" i="1"/>
  <c r="N31" i="1"/>
  <c r="I32" i="1" s="1"/>
  <c r="G18" i="1"/>
  <c r="H30" i="1"/>
  <c r="I31" i="1"/>
  <c r="N30" i="1"/>
  <c r="H29" i="1"/>
  <c r="I30" i="1"/>
  <c r="N29" i="1"/>
  <c r="I29" i="1"/>
  <c r="A18" i="1"/>
  <c r="D16" i="1"/>
  <c r="F16" i="1" s="1"/>
  <c r="H31" i="1" l="1"/>
  <c r="M30" i="1"/>
  <c r="A19" i="1"/>
  <c r="D18" i="1"/>
  <c r="M31" i="1" l="1"/>
  <c r="F18" i="1"/>
  <c r="A20" i="1"/>
  <c r="D19" i="1"/>
  <c r="F19" i="1" l="1"/>
  <c r="H32" i="1"/>
  <c r="J28" i="1" s="1" a="1"/>
  <c r="J28" i="1" s="1"/>
  <c r="O28" i="1" a="1"/>
  <c r="O28" i="1" s="1"/>
  <c r="A21" i="1"/>
  <c r="D20" i="1"/>
  <c r="F20" i="1" l="1"/>
  <c r="A22" i="1"/>
  <c r="D22" i="1" s="1"/>
  <c r="D21" i="1"/>
  <c r="F21" i="1" l="1"/>
  <c r="F2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<sst xmlns="http://schemas.openxmlformats.org/spreadsheetml/2006/main" count="153" uniqueCount="116">
  <si>
    <t>Mostra</t>
  </si>
  <si>
    <t>Int.confiança</t>
  </si>
  <si>
    <t>conc.mostra</t>
  </si>
  <si>
    <t>ml enràs</t>
  </si>
  <si>
    <t>Corba Calibrat:</t>
  </si>
  <si>
    <t>Factor dilució</t>
  </si>
  <si>
    <t>n</t>
  </si>
  <si>
    <t>Data:</t>
  </si>
  <si>
    <t>Grup pràctiques:</t>
  </si>
  <si>
    <t>Parella:</t>
  </si>
  <si>
    <t>Alumnes:</t>
  </si>
  <si>
    <t>Informe pràctica P</t>
  </si>
  <si>
    <t>1. Descripció de la mostra</t>
  </si>
  <si>
    <t>2. Descripció de l'equip</t>
  </si>
  <si>
    <t>3. Estimació del rang lineal</t>
  </si>
  <si>
    <t>Senyal</t>
  </si>
  <si>
    <t>Patró Quinina
(ppm)</t>
  </si>
  <si>
    <t>Rang lineal</t>
  </si>
  <si>
    <t>log Senyal</t>
  </si>
  <si>
    <t>log [Quinina]</t>
  </si>
  <si>
    <t>Estoc Quinina
(ml)</t>
  </si>
  <si>
    <t>Límit inferior</t>
  </si>
  <si>
    <t>Límit superior</t>
  </si>
  <si>
    <t>[Quinina]
(ppm)</t>
  </si>
  <si>
    <t>V enràs (ml)</t>
  </si>
  <si>
    <t>Pendent</t>
  </si>
  <si>
    <t>Ord. Origen</t>
  </si>
  <si>
    <r>
      <t>S</t>
    </r>
    <r>
      <rPr>
        <vertAlign val="subscript"/>
        <sz val="11"/>
        <color theme="1"/>
        <rFont val="Arial"/>
        <family val="2"/>
      </rPr>
      <t>0</t>
    </r>
  </si>
  <si>
    <t>Justificació del rang lineal elegit</t>
  </si>
  <si>
    <t>4. Estimació quinina en tònica</t>
  </si>
  <si>
    <t>5. Estimació del límit de detecció</t>
  </si>
  <si>
    <t>5a. Càlcul a partir del blanc</t>
  </si>
  <si>
    <r>
      <t>y</t>
    </r>
    <r>
      <rPr>
        <vertAlign val="subscript"/>
        <sz val="11"/>
        <color theme="1"/>
        <rFont val="Arial"/>
        <family val="2"/>
      </rPr>
      <t>B</t>
    </r>
  </si>
  <si>
    <r>
      <rPr>
        <sz val="11"/>
        <color theme="1"/>
        <rFont val="Arial"/>
        <family val="2"/>
      </rPr>
      <t>S</t>
    </r>
    <r>
      <rPr>
        <vertAlign val="subscript"/>
        <sz val="11"/>
        <color theme="1"/>
        <rFont val="Arial"/>
        <family val="2"/>
      </rPr>
      <t>B</t>
    </r>
  </si>
  <si>
    <t>5b. Càlcul a partir de la recta de calibratge</t>
  </si>
  <si>
    <r>
      <rPr>
        <sz val="11"/>
        <color theme="1"/>
        <rFont val="Arial"/>
        <family val="2"/>
      </rPr>
      <t>S</t>
    </r>
    <r>
      <rPr>
        <vertAlign val="subscript"/>
        <sz val="11"/>
        <color theme="1"/>
        <rFont val="Arial"/>
        <family val="2"/>
      </rPr>
      <t>y/x</t>
    </r>
  </si>
  <si>
    <t>Comparació (i discussió) dels valors de LOD calculats respecte l'observat</t>
  </si>
  <si>
    <t>6. Quenching halurs</t>
  </si>
  <si>
    <r>
      <t>[Br</t>
    </r>
    <r>
      <rPr>
        <vertAlign val="superscript"/>
        <sz val="11"/>
        <color theme="1"/>
        <rFont val="Arial"/>
        <family val="2"/>
      </rPr>
      <t>-</t>
    </r>
    <r>
      <rPr>
        <sz val="11"/>
        <color theme="1"/>
        <rFont val="Arial"/>
        <family val="2"/>
      </rPr>
      <t>] (mM)</t>
    </r>
  </si>
  <si>
    <t>Representació gràfica:</t>
  </si>
  <si>
    <t>Eq. Stern-Volmer:</t>
  </si>
  <si>
    <t>Comentaris</t>
  </si>
  <si>
    <t>Corba Calibrat (log vs log):</t>
  </si>
  <si>
    <t>Discutir si el contingut de quinina està o no per sota del límit establert per la legislació vigent.</t>
  </si>
  <si>
    <t>Patró KBr
(ppm)</t>
  </si>
  <si>
    <t>Estoc KBr
(ml)</t>
  </si>
  <si>
    <t>7. Comentaris addicionals..... (només si vols destacar alguna cosa)</t>
  </si>
  <si>
    <t>Les mesures de 0,5 i 0,05 han sigut addicionals un cop s'ha identificat que el rang lineal va entre</t>
  </si>
  <si>
    <t xml:space="preserve">Quan fem els logaritmes de la senyal i tenim valors negatius per les concentracions més baixes </t>
  </si>
  <si>
    <t>1 i 0,01. D'aquesta manera tindrem més punts per fer la recta de calibratge a la part lineal.</t>
  </si>
  <si>
    <t>observem que dona error perquè no és possible calcular els logaritmes de nombres negatius.</t>
  </si>
  <si>
    <t>Senyal (a.u.)</t>
  </si>
  <si>
    <t>[Quinina] (ppm)</t>
  </si>
  <si>
    <t>1.2 (G2) Matí - 1r torn</t>
  </si>
  <si>
    <t>Gerard Moreno Mas i Òscar Losada Garcia</t>
  </si>
  <si>
    <t>M_01</t>
  </si>
  <si>
    <t>0,010 ppm</t>
  </si>
  <si>
    <t>1,0 ppm</t>
  </si>
  <si>
    <t>Si tinguéssim en compte l'últim punt (10 ppm)...</t>
  </si>
  <si>
    <t>Si NO tenim en compte l'últim punt (10 ppm)...</t>
  </si>
  <si>
    <r>
      <t>Els 4 punts inicials donen molt poca senyal i no responen linealment a l'augment de concentració. És a partir de l'ordre de magnitud 0,010 ppm que comença la linealitat (límit inferior) i això passa fins a 1,0 ppm (límit superior). Entre aquests tres ordres de magnitud s'obté una recta de R</t>
    </r>
    <r>
      <rPr>
        <vertAlign val="superscript"/>
        <sz val="11"/>
        <color theme="1"/>
        <rFont val="Arial"/>
        <family val="2"/>
      </rPr>
      <t>2</t>
    </r>
    <r>
      <rPr>
        <sz val="11"/>
        <color theme="1"/>
        <rFont val="Arial"/>
        <family val="2"/>
      </rPr>
      <t>=1.000. L'últim punt (10 ppm) el descartem perquè ja observem que no és lineal amb la resta. Tenint-lo en compte s'obté una R</t>
    </r>
    <r>
      <rPr>
        <vertAlign val="superscript"/>
        <sz val="11"/>
        <color theme="1"/>
        <rFont val="Arial"/>
        <family val="2"/>
      </rPr>
      <t>2</t>
    </r>
    <r>
      <rPr>
        <sz val="11"/>
        <color theme="1"/>
        <rFont val="Arial"/>
        <family val="2"/>
      </rPr>
      <t xml:space="preserve"> de 0,964, que no és prou alta per considerar que aquests 4 punts poden estimar-se linealment. Sense tenir-lo en compte, amb els tres punts esmentats abans, obteníem R</t>
    </r>
    <r>
      <rPr>
        <vertAlign val="superscript"/>
        <sz val="11"/>
        <color theme="1"/>
        <rFont val="Arial"/>
        <family val="2"/>
      </rPr>
      <t>2</t>
    </r>
    <r>
      <rPr>
        <sz val="11"/>
        <color theme="1"/>
        <rFont val="Arial"/>
        <family val="2"/>
      </rPr>
      <t>=1,000.</t>
    </r>
  </si>
  <si>
    <t>y= a + bx</t>
  </si>
  <si>
    <t>b</t>
  </si>
  <si>
    <t>u_b</t>
  </si>
  <si>
    <t>R^2</t>
  </si>
  <si>
    <t>F</t>
  </si>
  <si>
    <t>Ssreg</t>
  </si>
  <si>
    <t>a</t>
  </si>
  <si>
    <t>u_a</t>
  </si>
  <si>
    <t>S_{y/x}</t>
  </si>
  <si>
    <t>dof</t>
  </si>
  <si>
    <t>Ssresid</t>
  </si>
  <si>
    <t>y_{avg}</t>
  </si>
  <si>
    <t>s_{xx}</t>
  </si>
  <si>
    <t>t_{tab}</t>
  </si>
  <si>
    <r>
      <t>y</t>
    </r>
    <r>
      <rPr>
        <vertAlign val="subscript"/>
        <sz val="11"/>
        <color theme="1"/>
        <rFont val="Arial"/>
        <family val="2"/>
      </rPr>
      <t>LOD</t>
    </r>
  </si>
  <si>
    <t>La solució de quinina (1ppm) es prepara fent una dilució de la proporcionada, de manera</t>
  </si>
  <si>
    <t>que es posen 5mL de la solució original a cada matràs de 50mL per tenir 1ppm.</t>
  </si>
  <si>
    <t>Tenint la mateixa concentració de quinina, la variació serà generada per la presència d'halurs.</t>
  </si>
  <si>
    <t>(1 ± 3)</t>
  </si>
  <si>
    <t>KBr estoc:</t>
  </si>
  <si>
    <t>ppm</t>
  </si>
  <si>
    <t>mM</t>
  </si>
  <si>
    <r>
      <t xml:space="preserve">Obtenim una concentració de quinina a la tònica (Schweppes) de </t>
    </r>
    <r>
      <rPr>
        <b/>
        <sz val="12"/>
        <color theme="1"/>
        <rFont val="Arial"/>
        <family val="2"/>
      </rPr>
      <t>(38 ± 4) ppm</t>
    </r>
    <r>
      <rPr>
        <sz val="12"/>
        <color theme="1"/>
        <rFont val="Arial"/>
        <family val="2"/>
      </rPr>
      <t>. Per tant, el contingut de quinina està per sota del límit legal de 100 ppm d'acord amb la legislació vigent (Reial decret llei 407/1975).</t>
    </r>
  </si>
  <si>
    <t>Les mesures es van realitzar per duplicat.</t>
  </si>
  <si>
    <t>(k=3 per conveni)</t>
  </si>
  <si>
    <t>mitjana de la senyal</t>
  </si>
  <si>
    <t>desv est mostra de la senyal</t>
  </si>
  <si>
    <t>fórmula</t>
  </si>
  <si>
    <t>apliquem la recta de regressió de les dades en el rang lineal</t>
  </si>
  <si>
    <t>agafem l'ordeanda a l'origen de la regressió lineal de les dades en rang lineal com a estimació de y_B</t>
  </si>
  <si>
    <t>el mateix, com a estimació de s_B</t>
  </si>
  <si>
    <t>Senyal Sense Quencher:</t>
  </si>
  <si>
    <r>
      <t>x</t>
    </r>
    <r>
      <rPr>
        <b/>
        <vertAlign val="subscript"/>
        <sz val="11"/>
        <color theme="1"/>
        <rFont val="Arial"/>
        <family val="2"/>
      </rPr>
      <t>LOD</t>
    </r>
  </si>
  <si>
    <t>(Fo/F - 1)</t>
  </si>
  <si>
    <t>Avg (Fo/F -1)</t>
  </si>
  <si>
    <t>Avg Senyal</t>
  </si>
  <si>
    <t>[Br-] (mM)</t>
  </si>
  <si>
    <t>concentració desitjada de 0,05 M.</t>
  </si>
  <si>
    <t xml:space="preserve">De tal manera que agafant 10 mL quedava el matràs de 50 mL directament amb la </t>
  </si>
  <si>
    <t>A cada patró se li afegien 10 mL de una solució estoc preparada de 0,25 M d'H2SO4.</t>
  </si>
  <si>
    <t>De la manera que s'ha reescrit la equació ha permès obtenir la kq directament a partir del pendent</t>
  </si>
  <si>
    <r>
      <t>(437 ± 6) ppm</t>
    </r>
    <r>
      <rPr>
        <vertAlign val="superscript"/>
        <sz val="11"/>
        <color theme="1"/>
        <rFont val="Arial"/>
        <family val="2"/>
      </rPr>
      <t>-1</t>
    </r>
  </si>
  <si>
    <r>
      <t>k</t>
    </r>
    <r>
      <rPr>
        <b/>
        <vertAlign val="subscript"/>
        <sz val="11"/>
        <color theme="1"/>
        <rFont val="Arial"/>
        <family val="2"/>
      </rPr>
      <t>q</t>
    </r>
  </si>
  <si>
    <t>Destacaríem la observació realitzada que la senyal no canviava gairebé entre la quarta i cinquena mesura (≈4 i ≈5 mM de Br-). Per això s'ha negligit el darrer punt alhora d'estudiar la part lineal. També, per a facilitar el càlcul en forma de regressió, s'ha reescrit la fórmula de la relació de Stern-Volmer simplement canviant el 1 de costat. D'aquesta manera s'aïlla amb el pendent directament la constant desitjada.</t>
  </si>
  <si>
    <t>Es fa servir l'equip Agilent Cary Eclipse Fluorescence Spectrophotometer, que permet fer mesures de fluorescència, seleccionant les longituds d'ona d'excitació i emissió. A diferència d'altra instrumentació utilitzada a les pràctiques, com es vol mesurar la fluorescència la direcció on s'irradia (per fer la absorció) i es llegeix la senyal (per la emissió) són ortogonals entre elles i, per tant, es requereixen cubetes transparents a les quatre cares.</t>
  </si>
  <si>
    <r>
      <t>La corba de calibrat sense logaritmes no ens permet veure el rang que és lineal. Cal fer logaritmes als dos eixos perquè així puguem saber a quins ordres de magnitud es compleix linealitat. Això passa per als punts coincidents amb la recta en taronja del gràfic amb logaritmes, recta amb R</t>
    </r>
    <r>
      <rPr>
        <vertAlign val="superscript"/>
        <sz val="11"/>
        <color theme="1"/>
        <rFont val="Arial"/>
        <family val="2"/>
      </rPr>
      <t>2</t>
    </r>
    <r>
      <rPr>
        <sz val="11"/>
        <color theme="1"/>
        <rFont val="Arial"/>
        <family val="2"/>
      </rPr>
      <t>=1. Farem dos patrons més en aquest rang per tenir una recta de calibratge amb més punts.</t>
    </r>
  </si>
  <si>
    <t>--&gt;</t>
  </si>
  <si>
    <t>Regressió del rang lineal amb punts addicionals: y= a + bx</t>
  </si>
  <si>
    <r>
      <rPr>
        <u/>
        <sz val="11"/>
        <color theme="1"/>
        <rFont val="Arial"/>
        <family val="2"/>
      </rPr>
      <t>En el rang de concentració agafat la senyal és lineal</t>
    </r>
    <r>
      <rPr>
        <sz val="11"/>
        <color theme="1"/>
        <rFont val="Arial"/>
        <family val="2"/>
      </rPr>
      <t>. Hem obtingut un coeficient de regressió de 0,999. La farem servir per trobar la concentració de quinina a la mostra per interpolació en aquest calibratge per patró extern. També observem com els punts s'estimen bé amb la recta de regressió dibuixada.</t>
    </r>
  </si>
  <si>
    <r>
      <t xml:space="preserve">En les representacions s'ha posat les dues repeticions (blau i taronja) així com la mitjana de les dues mesures (lila fosc). La recta de regressió s'ha realitzat sobre els 4 primers punts atès que el cinquè donava un resultat gairebé idèntic al quart. Així doncs, </t>
    </r>
    <r>
      <rPr>
        <u/>
        <sz val="11"/>
        <color theme="1"/>
        <rFont val="Arial"/>
        <family val="2"/>
      </rPr>
      <t>es pendrà la recta de regressió sobre la zona lineal que són els quatre primers punts</t>
    </r>
    <r>
      <rPr>
        <sz val="11"/>
        <color theme="1"/>
        <rFont val="Arial"/>
        <family val="2"/>
      </rPr>
      <t>. Convé dir que el fet de repetir les mesures es va realitzar en base a aquesta observació.</t>
    </r>
  </si>
  <si>
    <r>
      <t xml:space="preserve">El primer mètode (càlcul a partir del blanc) no ens ha donat cap informació perquè el blanc ens ha donat senyals negatives, tot i haver marcat en l'aparell el ZERO amb el mateix blanc. Entenem que aquestes senyals corresponen a les pròpies fluctuacions de l'aparell, i que són valors menyspreables en comparació amb les senyals obtingudes amb els patrons amb què s'ha generat la regressió en el rang lineal. Malgrat això, s'esperaria que, per ser compatible amb el 0, les fluctuacions donessin valors tant positius com negatius. Amb aquest mètode obtenim un límit de detecció amb concentració negativa, que per tant no té sentit físic. \\ El segon mètode en canvi, el càlcul a partir de la recta de calibratge, sí dona un resultat amb sentit físic (concentració positiva). S'obté </t>
    </r>
    <r>
      <rPr>
        <b/>
        <sz val="11"/>
        <color theme="1"/>
        <rFont val="Arial"/>
        <family val="2"/>
      </rPr>
      <t>x</t>
    </r>
    <r>
      <rPr>
        <b/>
        <vertAlign val="subscript"/>
        <sz val="11"/>
        <color theme="1"/>
        <rFont val="Arial"/>
        <family val="2"/>
      </rPr>
      <t>LOD</t>
    </r>
    <r>
      <rPr>
        <b/>
        <sz val="11"/>
        <color theme="1"/>
        <rFont val="Arial"/>
        <family val="2"/>
      </rPr>
      <t>=0.03 ppm</t>
    </r>
    <r>
      <rPr>
        <sz val="11"/>
        <color theme="1"/>
        <rFont val="Arial"/>
        <family val="2"/>
      </rPr>
      <t xml:space="preserve">, que </t>
    </r>
    <r>
      <rPr>
        <u/>
        <sz val="11"/>
        <color theme="1"/>
        <rFont val="Arial"/>
        <family val="2"/>
      </rPr>
      <t xml:space="preserve">correspon a l'ordre de magnitud del primer punt que hem considerat com a límit inferior </t>
    </r>
    <r>
      <rPr>
        <sz val="11"/>
        <color theme="1"/>
        <rFont val="Arial"/>
        <family val="2"/>
      </rPr>
      <t xml:space="preserve">(0.010 ppm) per generar el rang lineal. // Per tant, </t>
    </r>
    <r>
      <rPr>
        <u/>
        <sz val="11"/>
        <color theme="1"/>
        <rFont val="Arial"/>
        <family val="2"/>
      </rPr>
      <t>aquest segon mètode ens ha confirmat que el límit de detecció es troba en l'ordre de magnitud de 0.01 ppm</t>
    </r>
    <r>
      <rPr>
        <sz val="11"/>
        <color theme="1"/>
        <rFont val="Arial"/>
        <family val="2"/>
      </rPr>
      <t>, com ja havíem observat / entès nosaltres en generar la regressió lineal i agafar el límit de detecció inferior. // Les fórmules que tenim per trobar el límit de detecció no deixen de ser una estimació, i cal tenir present que graficar les dades ja ens dona molta informació. Per al primer mètode potser ens interessaria posar una concentració petita de quinina (per sota del límit de detecció que veiem gràficament) i així segurament obtíndriem un límit de detecció amb una concentració realista (almenys positiva).</t>
    </r>
  </si>
  <si>
    <r>
      <t>(0.15 ± 0.01) mM</t>
    </r>
    <r>
      <rPr>
        <vertAlign val="superscript"/>
        <sz val="11"/>
        <color theme="1"/>
        <rFont val="Arial"/>
        <family val="2"/>
      </rPr>
      <t>-1</t>
    </r>
  </si>
  <si>
    <t>(-0.04 ± 0.03)</t>
  </si>
  <si>
    <r>
      <t>(0.15 ± 0.01) mM</t>
    </r>
    <r>
      <rPr>
        <b/>
        <vertAlign val="superscript"/>
        <sz val="11"/>
        <color theme="1"/>
        <rFont val="Arial"/>
        <family val="2"/>
      </rPr>
      <t>-1</t>
    </r>
  </si>
  <si>
    <t>Tònica de la marca Schweppes amb número de lot 09052010. No conté quantitat de quinina present, però el límit legal establert al Reial decret llei 407/1975 és de 100 ppm per a «aigües tòniques i amargs no alcohòlics».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</si>
</sst>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
    <numFmt numFmtId="167" formatCode="0.00000"/>
    <numFmt numFmtId="168" formatCode="0.000000"/>
    <numFmt numFmtId="169" formatCode="0.0000000"/>
  </numFmts>
  <fonts count="16" x14ac:knownFonts="1">
    <font>
      <sz val="11"/>
      <color theme="1"/>
      <name val="Calibri"/>
      <family val="2"/>
      <scheme val="minor"/>
    </font>
    <font>
      <sz val="11"/>
      <color theme="1"/>
      <name val="Arial"/>
      <family val="2"/>
    </font>
    <font>
      <b/>
      <sz val="11"/>
      <color theme="1"/>
      <name val="Arial"/>
      <family val="2"/>
    </font>
    <font>
      <b/>
      <sz val="12"/>
      <color theme="1"/>
      <name val="Arial"/>
      <family val="2"/>
    </font>
    <font>
      <b/>
      <sz val="14"/>
      <color theme="1"/>
      <name val="Arial"/>
      <family val="2"/>
    </font>
    <font>
      <sz val="12"/>
      <color theme="1"/>
      <name val="Arial"/>
      <family val="2"/>
    </font>
    <font>
      <vertAlign val="subscript"/>
      <sz val="11"/>
      <color theme="1"/>
      <name val="Arial"/>
      <family val="2"/>
    </font>
    <font>
      <vertAlign val="superscript"/>
      <sz val="11"/>
      <color theme="1"/>
      <name val="Arial"/>
      <family val="2"/>
    </font>
    <font>
      <b/>
      <sz val="11"/>
      <color theme="1"/>
      <name val="Calibri"/>
      <family val="2"/>
      <scheme val="minor"/>
    </font>
    <font>
      <sz val="11"/>
      <color rgb="FFFF0000"/>
      <name val="Arial"/>
      <family val="2"/>
    </font>
    <font>
      <sz val="11"/>
      <color theme="0"/>
      <name val="Arial"/>
      <family val="2"/>
    </font>
    <font>
      <sz val="11"/>
      <color rgb="FF000000"/>
      <name val="Arial"/>
      <family val="2"/>
    </font>
    <font>
      <u/>
      <sz val="11"/>
      <color theme="1"/>
      <name val="Arial"/>
      <family val="2"/>
    </font>
    <font>
      <b/>
      <vertAlign val="subscript"/>
      <sz val="11"/>
      <color theme="1"/>
      <name val="Arial"/>
      <family val="2"/>
    </font>
    <font>
      <sz val="11"/>
      <color theme="0" tint="-0.249977111117893"/>
      <name val="Arial"/>
      <family val="2"/>
    </font>
    <font>
      <b/>
      <vertAlign val="superscript"/>
      <sz val="11"/>
      <color theme="1"/>
      <name val="Arial"/>
      <family val="2"/>
    </font>
  </fonts>
  <fills count="8">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1">
    <xf numFmtId="0" fontId="0" fillId="0" borderId="0"/>
  </cellStyleXfs>
  <cellXfs count="107">
    <xf numFmtId="0" fontId="0" fillId="0" borderId="0" xfId="0"/>
    <xf numFmtId="0" fontId="2" fillId="0" borderId="0" xfId="0" applyFont="1"/>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6" fillId="0" borderId="1" xfId="0" applyFont="1" applyBorder="1" applyAlignment="1">
      <alignment horizontal="center" vertical="center"/>
    </xf>
    <xf numFmtId="0" fontId="4"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2" fillId="0" borderId="0" xfId="0" applyFont="1" applyAlignment="1">
      <alignment vertical="center"/>
    </xf>
    <xf numFmtId="0" fontId="1" fillId="0" borderId="1" xfId="0" applyFont="1" applyBorder="1" applyAlignment="1">
      <alignment vertical="center"/>
    </xf>
    <xf numFmtId="0" fontId="2"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0" xfId="0" applyFont="1" applyAlignment="1">
      <alignment horizontal="center" vertical="center"/>
    </xf>
    <xf numFmtId="0" fontId="1" fillId="0" borderId="2" xfId="0" applyFont="1" applyBorder="1" applyAlignment="1">
      <alignment vertical="center"/>
    </xf>
    <xf numFmtId="164" fontId="1" fillId="0" borderId="1" xfId="0" applyNumberFormat="1" applyFont="1" applyBorder="1" applyAlignment="1">
      <alignment horizontal="center" vertical="center"/>
    </xf>
    <xf numFmtId="2"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166" fontId="1" fillId="0" borderId="1" xfId="0" applyNumberFormat="1" applyFont="1" applyBorder="1" applyAlignment="1">
      <alignment horizontal="center" vertical="center"/>
    </xf>
    <xf numFmtId="167" fontId="1" fillId="0" borderId="1" xfId="0" applyNumberFormat="1" applyFont="1" applyBorder="1" applyAlignment="1">
      <alignment horizontal="center" vertical="center"/>
    </xf>
    <xf numFmtId="168" fontId="1" fillId="0" borderId="1" xfId="0" applyNumberFormat="1" applyFont="1" applyBorder="1" applyAlignment="1">
      <alignment horizontal="center" vertical="center"/>
    </xf>
    <xf numFmtId="169" fontId="1" fillId="0" borderId="1" xfId="0" applyNumberFormat="1" applyFont="1" applyBorder="1" applyAlignment="1">
      <alignment horizontal="center" vertical="center"/>
    </xf>
    <xf numFmtId="0" fontId="1" fillId="2" borderId="1" xfId="0" applyFont="1" applyFill="1" applyBorder="1" applyAlignment="1">
      <alignment horizontal="center" vertical="center"/>
    </xf>
    <xf numFmtId="165" fontId="1" fillId="2" borderId="1" xfId="0" applyNumberFormat="1" applyFont="1" applyFill="1" applyBorder="1" applyAlignment="1">
      <alignment horizontal="center" vertical="center"/>
    </xf>
    <xf numFmtId="2" fontId="1" fillId="2" borderId="1"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0" fontId="5" fillId="0" borderId="0" xfId="0" applyFont="1"/>
    <xf numFmtId="14" fontId="5" fillId="0" borderId="0" xfId="0" applyNumberFormat="1" applyFont="1" applyAlignment="1">
      <alignment horizontal="left"/>
    </xf>
    <xf numFmtId="165" fontId="1" fillId="0" borderId="9" xfId="0" applyNumberFormat="1" applyFont="1" applyBorder="1" applyAlignment="1">
      <alignment horizontal="center" vertical="center"/>
    </xf>
    <xf numFmtId="165" fontId="2" fillId="3" borderId="0" xfId="0" applyNumberFormat="1" applyFont="1" applyFill="1" applyAlignment="1">
      <alignment vertical="center"/>
    </xf>
    <xf numFmtId="1" fontId="1" fillId="0" borderId="1" xfId="0" applyNumberFormat="1" applyFont="1" applyBorder="1" applyAlignment="1">
      <alignment horizontal="center" vertical="center"/>
    </xf>
    <xf numFmtId="1" fontId="1" fillId="2" borderId="1" xfId="0" applyNumberFormat="1" applyFont="1" applyFill="1" applyBorder="1" applyAlignment="1">
      <alignment horizontal="center" vertical="center"/>
    </xf>
    <xf numFmtId="166" fontId="1" fillId="0" borderId="0" xfId="0" applyNumberFormat="1" applyFont="1" applyAlignment="1">
      <alignment vertical="center"/>
    </xf>
    <xf numFmtId="165" fontId="1" fillId="0" borderId="0" xfId="0" applyNumberFormat="1" applyFont="1" applyAlignment="1">
      <alignment vertical="center"/>
    </xf>
    <xf numFmtId="0" fontId="1" fillId="0" borderId="0" xfId="0" applyFont="1" applyAlignment="1">
      <alignment horizontal="right" vertical="center"/>
    </xf>
    <xf numFmtId="0" fontId="2" fillId="0" borderId="0" xfId="0" applyFont="1" applyAlignment="1">
      <alignment horizontal="right" vertical="center"/>
    </xf>
    <xf numFmtId="2" fontId="1" fillId="0" borderId="0" xfId="0" applyNumberFormat="1" applyFont="1" applyAlignment="1">
      <alignment vertical="center"/>
    </xf>
    <xf numFmtId="164" fontId="1" fillId="0" borderId="0" xfId="0" applyNumberFormat="1" applyFont="1" applyAlignment="1">
      <alignment vertical="center"/>
    </xf>
    <xf numFmtId="1" fontId="1" fillId="0" borderId="0" xfId="0" applyNumberFormat="1" applyFont="1" applyAlignment="1">
      <alignment vertical="center"/>
    </xf>
    <xf numFmtId="164" fontId="1" fillId="0" borderId="0" xfId="0" applyNumberFormat="1" applyFont="1" applyAlignment="1">
      <alignment horizontal="center" vertical="center"/>
    </xf>
    <xf numFmtId="165" fontId="2" fillId="0" borderId="0" xfId="0" applyNumberFormat="1" applyFont="1" applyAlignment="1">
      <alignment horizontal="center" vertical="center"/>
    </xf>
    <xf numFmtId="0" fontId="9" fillId="0" borderId="0" xfId="0" applyFont="1" applyAlignment="1">
      <alignment horizontal="center" vertical="center"/>
    </xf>
    <xf numFmtId="166" fontId="1" fillId="0" borderId="0" xfId="0" applyNumberFormat="1" applyFont="1"/>
    <xf numFmtId="0" fontId="8" fillId="0" borderId="0" xfId="0" applyFont="1" applyAlignment="1">
      <alignment horizontal="right"/>
    </xf>
    <xf numFmtId="164" fontId="1" fillId="0" borderId="0" xfId="0" applyNumberFormat="1" applyFont="1"/>
    <xf numFmtId="165" fontId="1" fillId="0" borderId="0" xfId="0" applyNumberFormat="1" applyFont="1"/>
    <xf numFmtId="0" fontId="1" fillId="0" borderId="10" xfId="0" applyFont="1" applyBorder="1" applyAlignment="1">
      <alignment vertical="center" wrapText="1"/>
    </xf>
    <xf numFmtId="0" fontId="1" fillId="0" borderId="0" xfId="0" applyFont="1" applyAlignment="1">
      <alignment vertical="center" wrapText="1"/>
    </xf>
    <xf numFmtId="0" fontId="10" fillId="0" borderId="0" xfId="0" applyFont="1" applyAlignment="1">
      <alignment vertical="center"/>
    </xf>
    <xf numFmtId="0" fontId="1" fillId="0" borderId="2" xfId="0" applyFont="1" applyBorder="1" applyAlignment="1">
      <alignment horizontal="center" vertical="center"/>
    </xf>
    <xf numFmtId="0" fontId="1" fillId="2" borderId="2" xfId="0" applyFont="1" applyFill="1" applyBorder="1" applyAlignment="1">
      <alignment horizontal="center" vertical="center"/>
    </xf>
    <xf numFmtId="166"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1" fillId="0" borderId="10" xfId="0" applyFont="1" applyBorder="1" applyAlignment="1">
      <alignment horizontal="center" vertical="center"/>
    </xf>
    <xf numFmtId="166" fontId="1" fillId="0" borderId="10" xfId="0" applyNumberFormat="1" applyFont="1" applyBorder="1" applyAlignment="1">
      <alignment horizontal="center" vertical="center"/>
    </xf>
    <xf numFmtId="165" fontId="1" fillId="0" borderId="10" xfId="0" applyNumberFormat="1" applyFont="1" applyBorder="1" applyAlignment="1">
      <alignment horizontal="center" vertical="center"/>
    </xf>
    <xf numFmtId="0" fontId="11" fillId="0" borderId="1" xfId="0" applyFont="1" applyBorder="1" applyAlignment="1">
      <alignment horizontal="center" vertical="center"/>
    </xf>
    <xf numFmtId="0" fontId="1" fillId="0" borderId="0" xfId="0" applyFont="1" applyAlignment="1">
      <alignment horizontal="left" vertical="center"/>
    </xf>
    <xf numFmtId="0" fontId="2" fillId="3" borderId="1" xfId="0" applyFont="1" applyFill="1" applyBorder="1" applyAlignment="1">
      <alignment horizontal="center" vertical="center"/>
    </xf>
    <xf numFmtId="165" fontId="2" fillId="3" borderId="1" xfId="0" applyNumberFormat="1" applyFont="1" applyFill="1" applyBorder="1" applyAlignment="1">
      <alignment horizontal="center" vertical="center"/>
    </xf>
    <xf numFmtId="2" fontId="2" fillId="3" borderId="1" xfId="0" applyNumberFormat="1" applyFont="1" applyFill="1" applyBorder="1" applyAlignment="1">
      <alignment horizontal="center" vertical="center"/>
    </xf>
    <xf numFmtId="0" fontId="2" fillId="0" borderId="0" xfId="0" applyFont="1" applyAlignment="1">
      <alignment horizontal="center" vertical="center"/>
    </xf>
    <xf numFmtId="0" fontId="14" fillId="0" borderId="0" xfId="0" applyFont="1" applyAlignment="1">
      <alignment vertical="center"/>
    </xf>
    <xf numFmtId="168" fontId="14" fillId="0" borderId="0" xfId="0" applyNumberFormat="1" applyFont="1" applyAlignment="1">
      <alignment vertical="center"/>
    </xf>
    <xf numFmtId="0" fontId="1" fillId="5"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2" fontId="1" fillId="5" borderId="1" xfId="0" applyNumberFormat="1" applyFont="1" applyFill="1" applyBorder="1" applyAlignment="1">
      <alignment horizontal="center" vertical="center"/>
    </xf>
    <xf numFmtId="168" fontId="1" fillId="5" borderId="1" xfId="0" applyNumberFormat="1" applyFont="1" applyFill="1" applyBorder="1" applyAlignment="1">
      <alignment horizontal="center" vertical="center"/>
    </xf>
    <xf numFmtId="0" fontId="1" fillId="6" borderId="1" xfId="0" applyFont="1" applyFill="1" applyBorder="1" applyAlignment="1">
      <alignment horizontal="center" vertical="center"/>
    </xf>
    <xf numFmtId="164" fontId="1" fillId="6" borderId="1" xfId="0" applyNumberFormat="1" applyFont="1" applyFill="1" applyBorder="1" applyAlignment="1">
      <alignment horizontal="center" vertical="center"/>
    </xf>
    <xf numFmtId="2" fontId="1" fillId="6" borderId="1" xfId="0" applyNumberFormat="1" applyFont="1" applyFill="1" applyBorder="1" applyAlignment="1">
      <alignment horizontal="center" vertical="center"/>
    </xf>
    <xf numFmtId="168" fontId="1" fillId="6" borderId="1" xfId="0" applyNumberFormat="1" applyFont="1" applyFill="1" applyBorder="1" applyAlignment="1">
      <alignment horizontal="center" vertical="center"/>
    </xf>
    <xf numFmtId="168" fontId="1" fillId="2" borderId="1" xfId="0" applyNumberFormat="1" applyFont="1" applyFill="1" applyBorder="1" applyAlignment="1">
      <alignment horizontal="center" vertical="center"/>
    </xf>
    <xf numFmtId="0" fontId="1" fillId="7" borderId="1" xfId="0" applyFont="1" applyFill="1" applyBorder="1" applyAlignment="1">
      <alignment horizontal="center" vertical="center"/>
    </xf>
    <xf numFmtId="164" fontId="1" fillId="7" borderId="1" xfId="0" applyNumberFormat="1" applyFont="1" applyFill="1" applyBorder="1" applyAlignment="1">
      <alignment horizontal="center" vertical="center"/>
    </xf>
    <xf numFmtId="2" fontId="1" fillId="7" borderId="1" xfId="0" applyNumberFormat="1" applyFont="1" applyFill="1" applyBorder="1" applyAlignment="1">
      <alignment horizontal="center" vertical="center"/>
    </xf>
    <xf numFmtId="168" fontId="1" fillId="7"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164" fontId="1" fillId="4" borderId="1" xfId="0" applyNumberFormat="1" applyFont="1" applyFill="1" applyBorder="1" applyAlignment="1">
      <alignment horizontal="center" vertical="center"/>
    </xf>
    <xf numFmtId="2" fontId="1" fillId="4" borderId="1" xfId="0" applyNumberFormat="1" applyFont="1" applyFill="1" applyBorder="1" applyAlignment="1">
      <alignment horizontal="center" vertical="center"/>
    </xf>
    <xf numFmtId="168" fontId="1" fillId="4" borderId="1" xfId="0" applyNumberFormat="1" applyFont="1" applyFill="1" applyBorder="1" applyAlignment="1">
      <alignment horizontal="center" vertical="center"/>
    </xf>
    <xf numFmtId="168" fontId="14" fillId="5" borderId="0" xfId="0" applyNumberFormat="1" applyFont="1" applyFill="1" applyAlignment="1">
      <alignment vertical="center"/>
    </xf>
    <xf numFmtId="168" fontId="14" fillId="6" borderId="0" xfId="0" applyNumberFormat="1" applyFont="1" applyFill="1" applyAlignment="1">
      <alignment vertical="center"/>
    </xf>
    <xf numFmtId="168" fontId="14" fillId="2" borderId="0" xfId="0" applyNumberFormat="1" applyFont="1" applyFill="1" applyAlignment="1">
      <alignment vertical="center"/>
    </xf>
    <xf numFmtId="168" fontId="14" fillId="7" borderId="0" xfId="0" applyNumberFormat="1" applyFont="1" applyFill="1" applyAlignment="1">
      <alignment vertical="center"/>
    </xf>
    <xf numFmtId="168" fontId="14" fillId="4" borderId="0" xfId="0" applyNumberFormat="1" applyFont="1" applyFill="1" applyAlignment="1">
      <alignment vertical="center"/>
    </xf>
    <xf numFmtId="1" fontId="1" fillId="3" borderId="1" xfId="0" applyNumberFormat="1" applyFont="1" applyFill="1" applyBorder="1" applyAlignment="1">
      <alignment horizontal="center" vertical="center"/>
    </xf>
    <xf numFmtId="165" fontId="1" fillId="0" borderId="0" xfId="0" quotePrefix="1" applyNumberFormat="1" applyFont="1" applyAlignment="1">
      <alignment horizontal="center" vertical="center"/>
    </xf>
    <xf numFmtId="0" fontId="1" fillId="2"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vertical="center"/>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2" fontId="1" fillId="0" borderId="1" xfId="0" applyNumberFormat="1" applyFont="1" applyBorder="1" applyAlignment="1">
      <alignment horizontal="center" vertical="center"/>
    </xf>
    <xf numFmtId="0" fontId="1" fillId="0" borderId="0" xfId="0" applyFont="1" applyAlignment="1">
      <alignment horizontal="center" vertical="center" wrapText="1"/>
    </xf>
    <xf numFmtId="0" fontId="2" fillId="4" borderId="0" xfId="0" applyFont="1" applyFill="1" applyAlignment="1">
      <alignment horizontal="center"/>
    </xf>
    <xf numFmtId="0" fontId="1" fillId="4" borderId="0" xfId="0" applyFont="1" applyFill="1" applyAlignment="1">
      <alignment horizontal="center" vertical="center"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rgbClr val="7030A0"/>
              </a:solidFill>
              <a:ln w="9525">
                <a:solidFill>
                  <a:srgbClr val="7030A0"/>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7030A0"/>
                </a:solidFill>
                <a:prstDash val="sysDot"/>
              </a:ln>
              <a:effectLst/>
            </c:spPr>
            <c:trendlineType val="linear"/>
            <c:dispRSqr val="1"/>
            <c:dispEq val="1"/>
            <c:trendlineLbl>
              <c:layout>
                <c:manualLayout>
                  <c:x val="0.13613543545254525"/>
                  <c:y val="0.10398685087872626"/>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trendlineLbl>
          </c:trendline>
          <c:xVal>
            <c:numRef>
              <c:f>('Pràctica P'!$D$13:$D$14,'Pràctica P'!$D$16,'Pràctica P'!$D$18:$D$22)</c:f>
              <c:numCache>
                <c:formatCode>0.0</c:formatCode>
                <c:ptCount val="8"/>
                <c:pt idx="0" formatCode="General">
                  <c:v>10</c:v>
                </c:pt>
                <c:pt idx="1">
                  <c:v>1</c:v>
                </c:pt>
                <c:pt idx="2" formatCode="0.00">
                  <c:v>0.1</c:v>
                </c:pt>
                <c:pt idx="3" formatCode="0.000">
                  <c:v>0.01</c:v>
                </c:pt>
                <c:pt idx="4" formatCode="0.0000">
                  <c:v>1E-3</c:v>
                </c:pt>
                <c:pt idx="5" formatCode="0.00000">
                  <c:v>1E-4</c:v>
                </c:pt>
                <c:pt idx="6" formatCode="0.000000">
                  <c:v>1.0000000000000001E-5</c:v>
                </c:pt>
                <c:pt idx="7" formatCode="0.0000000">
                  <c:v>9.9999999999999995E-7</c:v>
                </c:pt>
              </c:numCache>
            </c:numRef>
          </c:xVal>
          <c:yVal>
            <c:numRef>
              <c:f>('Pràctica P'!$E$13:$E$14,'Pràctica P'!$E$16,'Pràctica P'!$E$18:$E$22)</c:f>
              <c:numCache>
                <c:formatCode>General</c:formatCode>
                <c:ptCount val="8"/>
                <c:pt idx="0">
                  <c:v>998.98099999999999</c:v>
                </c:pt>
                <c:pt idx="1">
                  <c:v>434.76100000000002</c:v>
                </c:pt>
                <c:pt idx="2">
                  <c:v>43.978999999999999</c:v>
                </c:pt>
                <c:pt idx="3">
                  <c:v>4.3920000000000003</c:v>
                </c:pt>
                <c:pt idx="4">
                  <c:v>-0.17799999999999999</c:v>
                </c:pt>
                <c:pt idx="5">
                  <c:v>-0.53500000000000003</c:v>
                </c:pt>
                <c:pt idx="6">
                  <c:v>-0.623</c:v>
                </c:pt>
                <c:pt idx="7">
                  <c:v>-0.71099999999999997</c:v>
                </c:pt>
              </c:numCache>
            </c:numRef>
          </c:yVal>
          <c:smooth val="0"/>
          <c:extLst>
            <c:ext xmlns:c16="http://schemas.microsoft.com/office/drawing/2014/chart" uri="{C3380CC4-5D6E-409C-BE32-E72D297353CC}">
              <c16:uniqueId val="{00000002-15B5-4756-B427-52C26CB75E4C}"/>
            </c:ext>
          </c:extLst>
        </c:ser>
        <c:dLbls>
          <c:showLegendKey val="0"/>
          <c:showVal val="0"/>
          <c:showCatName val="0"/>
          <c:showSerName val="0"/>
          <c:showPercent val="0"/>
          <c:showBubbleSize val="0"/>
        </c:dLbls>
        <c:axId val="1080770432"/>
        <c:axId val="1080760352"/>
      </c:scatterChart>
      <c:valAx>
        <c:axId val="1080770432"/>
        <c:scaling>
          <c:orientation val="minMax"/>
        </c:scaling>
        <c:delete val="0"/>
        <c:axPos val="b"/>
        <c:majorGridlines>
          <c:spPr>
            <a:ln w="9525" cap="flat" cmpd="sng" algn="ctr">
              <a:noFill/>
              <a:round/>
            </a:ln>
            <a:effectLst/>
          </c:spPr>
        </c:majorGridlines>
        <c:title>
          <c:tx>
            <c:strRef>
              <c:f>'Pràctica P'!$D$12</c:f>
              <c:strCache>
                <c:ptCount val="1"/>
                <c:pt idx="0">
                  <c:v>[Quinina] (ppm)</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80760352"/>
        <c:crosses val="autoZero"/>
        <c:crossBetween val="midCat"/>
      </c:valAx>
      <c:valAx>
        <c:axId val="1080760352"/>
        <c:scaling>
          <c:orientation val="minMax"/>
        </c:scaling>
        <c:delete val="0"/>
        <c:axPos val="l"/>
        <c:majorGridlines>
          <c:spPr>
            <a:ln w="9525" cap="flat" cmpd="sng" algn="ctr">
              <a:noFill/>
              <a:round/>
            </a:ln>
            <a:effectLst/>
          </c:spPr>
        </c:majorGridlines>
        <c:title>
          <c:tx>
            <c:strRef>
              <c:f>'Pràctica P'!$E$12</c:f>
              <c:strCache>
                <c:ptCount val="1"/>
                <c:pt idx="0">
                  <c:v>Senyal (a.u.)</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80770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rgbClr val="7030A0"/>
              </a:solidFill>
              <a:ln w="9525">
                <a:solidFill>
                  <a:srgbClr val="7030A0"/>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7030A0"/>
                </a:solidFill>
                <a:prstDash val="sysDot"/>
              </a:ln>
              <a:effectLst/>
            </c:spPr>
            <c:trendlineType val="linear"/>
            <c:dispRSqr val="1"/>
            <c:dispEq val="1"/>
            <c:trendlineLbl>
              <c:layout>
                <c:manualLayout>
                  <c:x val="-0.11534293213348332"/>
                  <c:y val="-1.3816360273053186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trendlineLbl>
          </c:trendline>
          <c:trendline>
            <c:spPr>
              <a:ln w="19050" cap="rnd">
                <a:solidFill>
                  <a:schemeClr val="accent1"/>
                </a:solidFill>
                <a:prstDash val="sysDot"/>
              </a:ln>
              <a:effectLst/>
            </c:spPr>
            <c:trendlineType val="linear"/>
            <c:dispRSqr val="0"/>
            <c:dispEq val="0"/>
          </c:trendline>
          <c:xVal>
            <c:numRef>
              <c:f>'Pràctica P'!$D$38:$D$42</c:f>
              <c:numCache>
                <c:formatCode>0.00</c:formatCode>
                <c:ptCount val="5"/>
                <c:pt idx="0" formatCode="0.0">
                  <c:v>1</c:v>
                </c:pt>
                <c:pt idx="1">
                  <c:v>0.5</c:v>
                </c:pt>
                <c:pt idx="2">
                  <c:v>0.1</c:v>
                </c:pt>
                <c:pt idx="3" formatCode="0.000">
                  <c:v>0.05</c:v>
                </c:pt>
                <c:pt idx="4" formatCode="0.000">
                  <c:v>0.01</c:v>
                </c:pt>
              </c:numCache>
            </c:numRef>
          </c:xVal>
          <c:yVal>
            <c:numRef>
              <c:f>'Pràctica P'!$E$38:$E$42</c:f>
              <c:numCache>
                <c:formatCode>General</c:formatCode>
                <c:ptCount val="5"/>
                <c:pt idx="0">
                  <c:v>434.76100000000002</c:v>
                </c:pt>
                <c:pt idx="1">
                  <c:v>227.37700000000001</c:v>
                </c:pt>
                <c:pt idx="2">
                  <c:v>43.978999999999999</c:v>
                </c:pt>
                <c:pt idx="3">
                  <c:v>21.765999999999998</c:v>
                </c:pt>
                <c:pt idx="4">
                  <c:v>4.3920000000000003</c:v>
                </c:pt>
              </c:numCache>
            </c:numRef>
          </c:yVal>
          <c:smooth val="0"/>
          <c:extLst>
            <c:ext xmlns:c16="http://schemas.microsoft.com/office/drawing/2014/chart" uri="{C3380CC4-5D6E-409C-BE32-E72D297353CC}">
              <c16:uniqueId val="{00000003-D199-4A95-B111-740BB4B4B1AB}"/>
            </c:ext>
          </c:extLst>
        </c:ser>
        <c:dLbls>
          <c:showLegendKey val="0"/>
          <c:showVal val="0"/>
          <c:showCatName val="0"/>
          <c:showSerName val="0"/>
          <c:showPercent val="0"/>
          <c:showBubbleSize val="0"/>
        </c:dLbls>
        <c:axId val="1080770432"/>
        <c:axId val="1080760352"/>
      </c:scatterChart>
      <c:valAx>
        <c:axId val="1080770432"/>
        <c:scaling>
          <c:orientation val="minMax"/>
        </c:scaling>
        <c:delete val="0"/>
        <c:axPos val="b"/>
        <c:majorGridlines>
          <c:spPr>
            <a:ln w="9525" cap="flat" cmpd="sng" algn="ctr">
              <a:noFill/>
              <a:round/>
            </a:ln>
            <a:effectLst/>
          </c:spPr>
        </c:majorGridlines>
        <c:title>
          <c:tx>
            <c:strRef>
              <c:f>'Pràctica P'!$D$37</c:f>
              <c:strCache>
                <c:ptCount val="1"/>
                <c:pt idx="0">
                  <c:v>[Quinina]
(ppm)</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80760352"/>
        <c:crosses val="autoZero"/>
        <c:crossBetween val="midCat"/>
      </c:valAx>
      <c:valAx>
        <c:axId val="1080760352"/>
        <c:scaling>
          <c:orientation val="minMax"/>
        </c:scaling>
        <c:delete val="0"/>
        <c:axPos val="l"/>
        <c:majorGridlines>
          <c:spPr>
            <a:ln w="9525" cap="flat" cmpd="sng" algn="ctr">
              <a:noFill/>
              <a:round/>
            </a:ln>
            <a:effectLst/>
          </c:spPr>
        </c:majorGridlines>
        <c:title>
          <c:tx>
            <c:strRef>
              <c:f>'Pràctica P'!$E$37</c:f>
              <c:strCache>
                <c:ptCount val="1"/>
                <c:pt idx="0">
                  <c:v>Senyal</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807704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a:noFill/>
            </a:ln>
          </c:spPr>
          <c:marker>
            <c:symbol val="circle"/>
            <c:size val="5"/>
            <c:spPr>
              <a:solidFill>
                <a:srgbClr val="7030A0"/>
              </a:solidFill>
              <a:ln w="9525">
                <a:solidFill>
                  <a:srgbClr val="7030A0"/>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7030A0"/>
                </a:solidFill>
                <a:prstDash val="sysDot"/>
              </a:ln>
              <a:effectLst/>
            </c:spPr>
            <c:trendlineType val="linear"/>
            <c:dispRSqr val="1"/>
            <c:dispEq val="1"/>
            <c:trendlineLbl>
              <c:layout>
                <c:manualLayout>
                  <c:x val="0.13613543545254525"/>
                  <c:y val="0.10398685087872626"/>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trendlineLbl>
          </c:trendline>
          <c:trendline>
            <c:spPr>
              <a:ln w="19050" cap="rnd">
                <a:solidFill>
                  <a:schemeClr val="accent1"/>
                </a:solidFill>
                <a:prstDash val="sysDot"/>
              </a:ln>
              <a:effectLst/>
            </c:spPr>
            <c:trendlineType val="linear"/>
            <c:dispRSqr val="0"/>
            <c:dispEq val="0"/>
          </c:trendline>
          <c:xVal>
            <c:numRef>
              <c:f>('Pràctica P'!$F$13:$F$14,'Pràctica P'!$F$16,'Pràctica P'!$F$18:$F$22)</c:f>
              <c:numCache>
                <c:formatCode>0.000</c:formatCode>
                <c:ptCount val="8"/>
                <c:pt idx="0">
                  <c:v>1</c:v>
                </c:pt>
                <c:pt idx="1">
                  <c:v>0</c:v>
                </c:pt>
                <c:pt idx="2">
                  <c:v>-1</c:v>
                </c:pt>
                <c:pt idx="3">
                  <c:v>-2</c:v>
                </c:pt>
                <c:pt idx="4">
                  <c:v>-3</c:v>
                </c:pt>
                <c:pt idx="5">
                  <c:v>-4</c:v>
                </c:pt>
                <c:pt idx="6">
                  <c:v>-5</c:v>
                </c:pt>
                <c:pt idx="7">
                  <c:v>-6</c:v>
                </c:pt>
              </c:numCache>
            </c:numRef>
          </c:xVal>
          <c:yVal>
            <c:numRef>
              <c:f>('Pràctica P'!$G$13:$G$14,'Pràctica P'!$G$16,'Pràctica P'!$G$18:$G$22)</c:f>
              <c:numCache>
                <c:formatCode>0.000</c:formatCode>
                <c:ptCount val="8"/>
                <c:pt idx="0">
                  <c:v>2.999557228292423</c:v>
                </c:pt>
                <c:pt idx="1">
                  <c:v>2.6382505790102657</c:v>
                </c:pt>
                <c:pt idx="2">
                  <c:v>1.6432453500948174</c:v>
                </c:pt>
                <c:pt idx="3">
                  <c:v>0.64266233144203555</c:v>
                </c:pt>
                <c:pt idx="4">
                  <c:v>0</c:v>
                </c:pt>
                <c:pt idx="5">
                  <c:v>0</c:v>
                </c:pt>
                <c:pt idx="6">
                  <c:v>0</c:v>
                </c:pt>
                <c:pt idx="7">
                  <c:v>0</c:v>
                </c:pt>
              </c:numCache>
            </c:numRef>
          </c:yVal>
          <c:smooth val="0"/>
          <c:extLst>
            <c:ext xmlns:c16="http://schemas.microsoft.com/office/drawing/2014/chart" uri="{C3380CC4-5D6E-409C-BE32-E72D297353CC}">
              <c16:uniqueId val="{0000002E-84B6-FC48-9F63-7975D59ABAB1}"/>
            </c:ext>
          </c:extLst>
        </c:ser>
        <c:ser>
          <c:idx val="1"/>
          <c:order val="1"/>
          <c:spPr>
            <a:ln w="19050">
              <a:noFill/>
            </a:ln>
          </c:spPr>
          <c:marker>
            <c:symbol val="circle"/>
            <c:size val="5"/>
            <c:spPr>
              <a:solidFill>
                <a:schemeClr val="accent2"/>
              </a:solidFill>
              <a:ln w="9525">
                <a:solidFill>
                  <a:schemeClr val="accent2"/>
                </a:solidFill>
              </a:ln>
              <a:effectLst/>
            </c:spPr>
          </c:marker>
          <c:dPt>
            <c:idx val="0"/>
            <c:bubble3D val="0"/>
            <c:spPr>
              <a:ln w="25400">
                <a:noFill/>
              </a:ln>
              <a:effectLst/>
            </c:spPr>
            <c:extLst>
              <c:ext xmlns:c16="http://schemas.microsoft.com/office/drawing/2014/chart" uri="{C3380CC4-5D6E-409C-BE32-E72D297353CC}">
                <c16:uniqueId val="{00000004-67FA-384A-BE32-28D9A1A631C5}"/>
              </c:ext>
            </c:extLst>
          </c:dPt>
          <c:trendline>
            <c:spPr>
              <a:ln w="19050" cap="rnd">
                <a:solidFill>
                  <a:schemeClr val="accent2"/>
                </a:solidFill>
                <a:prstDash val="sysDot"/>
              </a:ln>
              <a:effectLst/>
            </c:spPr>
            <c:trendlineType val="linear"/>
            <c:backward val="1.5"/>
            <c:dispRSqr val="1"/>
            <c:dispEq val="1"/>
            <c:trendlineLbl>
              <c:layout>
                <c:manualLayout>
                  <c:x val="-8.0481451311382013E-2"/>
                  <c:y val="0.12773626395089741"/>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es-ES"/>
                </a:p>
              </c:txPr>
            </c:trendlineLbl>
          </c:trendline>
          <c:xVal>
            <c:numRef>
              <c:f>('Pràctica P'!$F$14,'Pràctica P'!$F$16,'Pràctica P'!$M$31)</c:f>
              <c:numCache>
                <c:formatCode>0.000</c:formatCode>
                <c:ptCount val="3"/>
                <c:pt idx="0">
                  <c:v>0</c:v>
                </c:pt>
                <c:pt idx="1">
                  <c:v>-1</c:v>
                </c:pt>
                <c:pt idx="2">
                  <c:v>-2</c:v>
                </c:pt>
              </c:numCache>
            </c:numRef>
          </c:xVal>
          <c:yVal>
            <c:numRef>
              <c:f>('Pràctica P'!$G$14,'Pràctica P'!$G$16,'Pràctica P'!$N$31)</c:f>
              <c:numCache>
                <c:formatCode>0.000</c:formatCode>
                <c:ptCount val="3"/>
                <c:pt idx="0">
                  <c:v>2.6382505790102657</c:v>
                </c:pt>
                <c:pt idx="1">
                  <c:v>1.6432453500948174</c:v>
                </c:pt>
                <c:pt idx="2">
                  <c:v>0.64266233144203555</c:v>
                </c:pt>
              </c:numCache>
            </c:numRef>
          </c:yVal>
          <c:smooth val="0"/>
          <c:extLst>
            <c:ext xmlns:c16="http://schemas.microsoft.com/office/drawing/2014/chart" uri="{C3380CC4-5D6E-409C-BE32-E72D297353CC}">
              <c16:uniqueId val="{00000031-84B6-FC48-9F63-7975D59ABAB1}"/>
            </c:ext>
          </c:extLst>
        </c:ser>
        <c:ser>
          <c:idx val="2"/>
          <c:order val="2"/>
          <c:tx>
            <c:v>blanc</c:v>
          </c:tx>
          <c:spPr>
            <a:ln w="19050">
              <a:noFill/>
            </a:ln>
          </c:spPr>
          <c:marker>
            <c:spPr>
              <a:noFill/>
              <a:ln>
                <a:noFill/>
              </a:ln>
            </c:spPr>
          </c:marker>
          <c:trendline>
            <c:spPr>
              <a:ln w="12700">
                <a:solidFill>
                  <a:srgbClr val="FF0000"/>
                </a:solidFill>
                <a:prstDash val="dash"/>
              </a:ln>
            </c:spPr>
            <c:trendlineType val="linear"/>
            <c:forward val="2"/>
            <c:dispRSqr val="0"/>
            <c:dispEq val="0"/>
          </c:trendline>
          <c:xVal>
            <c:numRef>
              <c:f>'Pràctica P'!$F$19:$F$22</c:f>
              <c:numCache>
                <c:formatCode>0.000</c:formatCode>
                <c:ptCount val="4"/>
                <c:pt idx="0">
                  <c:v>-3</c:v>
                </c:pt>
                <c:pt idx="1">
                  <c:v>-4</c:v>
                </c:pt>
                <c:pt idx="2">
                  <c:v>-5</c:v>
                </c:pt>
                <c:pt idx="3">
                  <c:v>-6</c:v>
                </c:pt>
              </c:numCache>
            </c:numRef>
          </c:xVal>
          <c:yVal>
            <c:numRef>
              <c:f>'Pràctica P'!$G$19:$G$22</c:f>
              <c:numCache>
                <c:formatCode>0.000</c:formatCode>
                <c:ptCount val="4"/>
                <c:pt idx="0">
                  <c:v>0</c:v>
                </c:pt>
                <c:pt idx="1">
                  <c:v>0</c:v>
                </c:pt>
                <c:pt idx="2">
                  <c:v>0</c:v>
                </c:pt>
                <c:pt idx="3">
                  <c:v>0</c:v>
                </c:pt>
              </c:numCache>
            </c:numRef>
          </c:yVal>
          <c:smooth val="0"/>
          <c:extLst>
            <c:ext xmlns:c16="http://schemas.microsoft.com/office/drawing/2014/chart" uri="{C3380CC4-5D6E-409C-BE32-E72D297353CC}">
              <c16:uniqueId val="{00000004-2F49-9345-862E-0BA870E30B5C}"/>
            </c:ext>
          </c:extLst>
        </c:ser>
        <c:dLbls>
          <c:showLegendKey val="0"/>
          <c:showVal val="0"/>
          <c:showCatName val="0"/>
          <c:showSerName val="0"/>
          <c:showPercent val="0"/>
          <c:showBubbleSize val="0"/>
        </c:dLbls>
        <c:axId val="1080770432"/>
        <c:axId val="1080760352"/>
      </c:scatterChart>
      <c:valAx>
        <c:axId val="1080770432"/>
        <c:scaling>
          <c:orientation val="minMax"/>
        </c:scaling>
        <c:delete val="0"/>
        <c:axPos val="b"/>
        <c:majorGridlines>
          <c:spPr>
            <a:ln w="9525" cap="flat" cmpd="sng" algn="ctr">
              <a:noFill/>
              <a:round/>
            </a:ln>
            <a:effectLst/>
          </c:spPr>
        </c:majorGridlines>
        <c:title>
          <c:tx>
            <c:strRef>
              <c:f>'Pràctica P'!$F$12</c:f>
              <c:strCache>
                <c:ptCount val="1"/>
                <c:pt idx="0">
                  <c:v>log [Quinina]</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80760352"/>
        <c:crosses val="autoZero"/>
        <c:crossBetween val="midCat"/>
      </c:valAx>
      <c:valAx>
        <c:axId val="1080760352"/>
        <c:scaling>
          <c:orientation val="minMax"/>
        </c:scaling>
        <c:delete val="0"/>
        <c:axPos val="l"/>
        <c:majorGridlines>
          <c:spPr>
            <a:ln w="9525" cap="flat" cmpd="sng" algn="ctr">
              <a:noFill/>
              <a:round/>
            </a:ln>
            <a:effectLst/>
          </c:spPr>
        </c:majorGridlines>
        <c:title>
          <c:tx>
            <c:strRef>
              <c:f>'Pràctica P'!$G$12</c:f>
              <c:strCache>
                <c:ptCount val="1"/>
                <c:pt idx="0">
                  <c:v>log Senyal</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80770432"/>
        <c:crosses val="autoZero"/>
        <c:crossBetween val="midCat"/>
      </c:valAx>
    </c:plotArea>
    <c:plotVisOnly val="1"/>
    <c:dispBlanksAs val="gap"/>
    <c:showDLblsOverMax val="0"/>
    <c:extLst/>
  </c:chart>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Repeticio 1</c:v>
          </c:tx>
          <c:spPr>
            <a:ln w="25400" cap="rnd">
              <a:noFill/>
              <a:round/>
            </a:ln>
            <a:effectLst/>
          </c:spPr>
          <c:marker>
            <c:symbol val="circle"/>
            <c:size val="5"/>
            <c:spPr>
              <a:solidFill>
                <a:schemeClr val="accent1">
                  <a:lumMod val="40000"/>
                  <a:lumOff val="60000"/>
                </a:schemeClr>
              </a:solidFill>
              <a:ln w="9525">
                <a:noFill/>
              </a:ln>
              <a:effectLst/>
            </c:spPr>
          </c:marker>
          <c:xVal>
            <c:numRef>
              <c:f>'Pràctica P'!$E$85:$E$89</c:f>
              <c:numCache>
                <c:formatCode>0.00</c:formatCode>
                <c:ptCount val="5"/>
                <c:pt idx="0">
                  <c:v>0.97959999999999992</c:v>
                </c:pt>
                <c:pt idx="1">
                  <c:v>1.9591999999999998</c:v>
                </c:pt>
                <c:pt idx="2">
                  <c:v>2.9388000000000001</c:v>
                </c:pt>
                <c:pt idx="3">
                  <c:v>3.9183999999999997</c:v>
                </c:pt>
                <c:pt idx="4">
                  <c:v>4.8979999999999997</c:v>
                </c:pt>
              </c:numCache>
            </c:numRef>
          </c:xVal>
          <c:yVal>
            <c:numRef>
              <c:f>'Pràctica P'!$F$85:$F$89</c:f>
              <c:numCache>
                <c:formatCode>General</c:formatCode>
                <c:ptCount val="5"/>
                <c:pt idx="0">
                  <c:v>380.14699999999999</c:v>
                </c:pt>
                <c:pt idx="1">
                  <c:v>319.11900000000003</c:v>
                </c:pt>
                <c:pt idx="2">
                  <c:v>302.91500000000002</c:v>
                </c:pt>
                <c:pt idx="3">
                  <c:v>284.21100000000001</c:v>
                </c:pt>
                <c:pt idx="4">
                  <c:v>283.34300000000002</c:v>
                </c:pt>
              </c:numCache>
            </c:numRef>
          </c:yVal>
          <c:smooth val="0"/>
          <c:extLst>
            <c:ext xmlns:c16="http://schemas.microsoft.com/office/drawing/2014/chart" uri="{C3380CC4-5D6E-409C-BE32-E72D297353CC}">
              <c16:uniqueId val="{00000001-3605-5A45-A7BA-4D874D902FAF}"/>
            </c:ext>
          </c:extLst>
        </c:ser>
        <c:ser>
          <c:idx val="1"/>
          <c:order val="1"/>
          <c:tx>
            <c:v>Repeticio 2</c:v>
          </c:tx>
          <c:spPr>
            <a:ln w="25400" cap="rnd">
              <a:noFill/>
              <a:round/>
            </a:ln>
            <a:effectLst/>
          </c:spPr>
          <c:marker>
            <c:symbol val="circle"/>
            <c:size val="5"/>
            <c:spPr>
              <a:solidFill>
                <a:schemeClr val="accent2">
                  <a:lumMod val="40000"/>
                  <a:lumOff val="60000"/>
                </a:schemeClr>
              </a:solidFill>
              <a:ln w="9525">
                <a:noFill/>
              </a:ln>
              <a:effectLst/>
            </c:spPr>
          </c:marker>
          <c:xVal>
            <c:numRef>
              <c:f>'Pràctica P'!$E$90:$E$94</c:f>
              <c:numCache>
                <c:formatCode>0.00</c:formatCode>
                <c:ptCount val="5"/>
                <c:pt idx="0">
                  <c:v>4.8979999999999997</c:v>
                </c:pt>
                <c:pt idx="1">
                  <c:v>3.9183999999999997</c:v>
                </c:pt>
                <c:pt idx="2">
                  <c:v>2.9388000000000001</c:v>
                </c:pt>
                <c:pt idx="3">
                  <c:v>1.9591999999999998</c:v>
                </c:pt>
                <c:pt idx="4">
                  <c:v>0.97959999999999992</c:v>
                </c:pt>
              </c:numCache>
            </c:numRef>
          </c:xVal>
          <c:yVal>
            <c:numRef>
              <c:f>'Pràctica P'!$F$90:$F$94</c:f>
              <c:numCache>
                <c:formatCode>General</c:formatCode>
                <c:ptCount val="5"/>
                <c:pt idx="0">
                  <c:v>286.16699999999997</c:v>
                </c:pt>
                <c:pt idx="1">
                  <c:v>284.40100000000001</c:v>
                </c:pt>
                <c:pt idx="2">
                  <c:v>311.786</c:v>
                </c:pt>
                <c:pt idx="3">
                  <c:v>367.04399999999998</c:v>
                </c:pt>
                <c:pt idx="4">
                  <c:v>422.77100000000002</c:v>
                </c:pt>
              </c:numCache>
            </c:numRef>
          </c:yVal>
          <c:smooth val="0"/>
          <c:extLst>
            <c:ext xmlns:c16="http://schemas.microsoft.com/office/drawing/2014/chart" uri="{C3380CC4-5D6E-409C-BE32-E72D297353CC}">
              <c16:uniqueId val="{00000002-3605-5A45-A7BA-4D874D902FAF}"/>
            </c:ext>
          </c:extLst>
        </c:ser>
        <c:ser>
          <c:idx val="2"/>
          <c:order val="2"/>
          <c:tx>
            <c:v>Average</c:v>
          </c:tx>
          <c:spPr>
            <a:ln w="25400" cap="rnd">
              <a:noFill/>
              <a:round/>
            </a:ln>
            <a:effectLst/>
          </c:spPr>
          <c:marker>
            <c:symbol val="circle"/>
            <c:size val="5"/>
            <c:spPr>
              <a:solidFill>
                <a:srgbClr val="7030A0"/>
              </a:solidFill>
              <a:ln w="9525">
                <a:solidFill>
                  <a:srgbClr val="7030A0"/>
                </a:solidFill>
              </a:ln>
              <a:effectLst/>
            </c:spPr>
          </c:marker>
          <c:trendline>
            <c:spPr>
              <a:ln w="19050" cap="rnd">
                <a:solidFill>
                  <a:schemeClr val="accent3"/>
                </a:solidFill>
                <a:prstDash val="sysDot"/>
              </a:ln>
              <a:effectLst/>
            </c:spPr>
            <c:trendlineType val="linear"/>
            <c:dispRSqr val="1"/>
            <c:dispEq val="1"/>
            <c:trendlineLbl>
              <c:layout>
                <c:manualLayout>
                  <c:x val="0.19270380117579641"/>
                  <c:y val="-0.38990419220450628"/>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ES"/>
                </a:p>
              </c:txPr>
            </c:trendlineLbl>
          </c:trendline>
          <c:xVal>
            <c:numRef>
              <c:f>'Pràctica P'!$E$85:$E$88</c:f>
              <c:numCache>
                <c:formatCode>0.00</c:formatCode>
                <c:ptCount val="4"/>
                <c:pt idx="0">
                  <c:v>0.97959999999999992</c:v>
                </c:pt>
                <c:pt idx="1">
                  <c:v>1.9591999999999998</c:v>
                </c:pt>
                <c:pt idx="2">
                  <c:v>2.9388000000000001</c:v>
                </c:pt>
                <c:pt idx="3">
                  <c:v>3.9183999999999997</c:v>
                </c:pt>
              </c:numCache>
            </c:numRef>
          </c:xVal>
          <c:yVal>
            <c:numRef>
              <c:f>'Pràctica P'!$R$85:$R$88</c:f>
              <c:numCache>
                <c:formatCode>0.000000</c:formatCode>
                <c:ptCount val="4"/>
                <c:pt idx="0">
                  <c:v>401.459</c:v>
                </c:pt>
                <c:pt idx="1">
                  <c:v>343.08150000000001</c:v>
                </c:pt>
                <c:pt idx="2">
                  <c:v>307.35050000000001</c:v>
                </c:pt>
                <c:pt idx="3">
                  <c:v>284.30600000000004</c:v>
                </c:pt>
              </c:numCache>
            </c:numRef>
          </c:yVal>
          <c:smooth val="0"/>
          <c:extLst>
            <c:ext xmlns:c16="http://schemas.microsoft.com/office/drawing/2014/chart" uri="{C3380CC4-5D6E-409C-BE32-E72D297353CC}">
              <c16:uniqueId val="{00000001-8B9F-E248-8611-8015F05CF14B}"/>
            </c:ext>
          </c:extLst>
        </c:ser>
        <c:dLbls>
          <c:showLegendKey val="0"/>
          <c:showVal val="0"/>
          <c:showCatName val="0"/>
          <c:showSerName val="0"/>
          <c:showPercent val="0"/>
          <c:showBubbleSize val="0"/>
        </c:dLbls>
        <c:axId val="487778896"/>
        <c:axId val="523699072"/>
      </c:scatterChart>
      <c:valAx>
        <c:axId val="487778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_tradnl"/>
                  <a:t>[Br</a:t>
                </a:r>
                <a:r>
                  <a:rPr lang="es-ES_tradnl" baseline="0"/>
                  <a:t> -] (mM)</a:t>
                </a:r>
                <a:endParaRPr lang="es-ES_tradn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_tradnl"/>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23699072"/>
        <c:crosses val="autoZero"/>
        <c:crossBetween val="midCat"/>
      </c:valAx>
      <c:valAx>
        <c:axId val="523699072"/>
        <c:scaling>
          <c:orientation val="minMax"/>
          <c:min val="25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_tradnl"/>
                  <a:t>Senyal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77788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Repeticio 1</c:v>
          </c:tx>
          <c:spPr>
            <a:ln w="25400" cap="rnd">
              <a:noFill/>
              <a:round/>
            </a:ln>
            <a:effectLst/>
          </c:spPr>
          <c:marker>
            <c:symbol val="circle"/>
            <c:size val="5"/>
            <c:spPr>
              <a:solidFill>
                <a:schemeClr val="accent1">
                  <a:lumMod val="40000"/>
                  <a:lumOff val="60000"/>
                </a:schemeClr>
              </a:solidFill>
              <a:ln w="9525">
                <a:noFill/>
              </a:ln>
              <a:effectLst/>
            </c:spPr>
          </c:marker>
          <c:xVal>
            <c:numRef>
              <c:f>'Pràctica P'!$E$85:$E$89</c:f>
              <c:numCache>
                <c:formatCode>0.00</c:formatCode>
                <c:ptCount val="5"/>
                <c:pt idx="0">
                  <c:v>0.97959999999999992</c:v>
                </c:pt>
                <c:pt idx="1">
                  <c:v>1.9591999999999998</c:v>
                </c:pt>
                <c:pt idx="2">
                  <c:v>2.9388000000000001</c:v>
                </c:pt>
                <c:pt idx="3">
                  <c:v>3.9183999999999997</c:v>
                </c:pt>
                <c:pt idx="4">
                  <c:v>4.8979999999999997</c:v>
                </c:pt>
              </c:numCache>
            </c:numRef>
          </c:xVal>
          <c:yVal>
            <c:numRef>
              <c:f>'Pràctica P'!$G$85:$G$89</c:f>
              <c:numCache>
                <c:formatCode>0.000000</c:formatCode>
                <c:ptCount val="5"/>
                <c:pt idx="0">
                  <c:v>0.14366547677608943</c:v>
                </c:pt>
                <c:pt idx="1">
                  <c:v>0.36237892447644926</c:v>
                </c:pt>
                <c:pt idx="2">
                  <c:v>0.43525741544657737</c:v>
                </c:pt>
                <c:pt idx="3">
                  <c:v>0.52971208010949611</c:v>
                </c:pt>
                <c:pt idx="4">
                  <c:v>0.53439823817775634</c:v>
                </c:pt>
              </c:numCache>
            </c:numRef>
          </c:yVal>
          <c:smooth val="0"/>
          <c:extLst>
            <c:ext xmlns:c16="http://schemas.microsoft.com/office/drawing/2014/chart" uri="{C3380CC4-5D6E-409C-BE32-E72D297353CC}">
              <c16:uniqueId val="{00000001-3605-5A45-A7BA-4D874D902FAF}"/>
            </c:ext>
          </c:extLst>
        </c:ser>
        <c:ser>
          <c:idx val="1"/>
          <c:order val="1"/>
          <c:tx>
            <c:v>Repeticio 2</c:v>
          </c:tx>
          <c:spPr>
            <a:ln w="25400" cap="rnd">
              <a:noFill/>
              <a:round/>
            </a:ln>
            <a:effectLst/>
          </c:spPr>
          <c:marker>
            <c:symbol val="circle"/>
            <c:size val="5"/>
            <c:spPr>
              <a:solidFill>
                <a:schemeClr val="accent2">
                  <a:lumMod val="40000"/>
                  <a:lumOff val="60000"/>
                </a:schemeClr>
              </a:solidFill>
              <a:ln w="9525">
                <a:noFill/>
              </a:ln>
              <a:effectLst/>
            </c:spPr>
          </c:marker>
          <c:xVal>
            <c:numRef>
              <c:f>'Pràctica P'!$E$90:$E$94</c:f>
              <c:numCache>
                <c:formatCode>0.00</c:formatCode>
                <c:ptCount val="5"/>
                <c:pt idx="0">
                  <c:v>4.8979999999999997</c:v>
                </c:pt>
                <c:pt idx="1">
                  <c:v>3.9183999999999997</c:v>
                </c:pt>
                <c:pt idx="2">
                  <c:v>2.9388000000000001</c:v>
                </c:pt>
                <c:pt idx="3">
                  <c:v>1.9591999999999998</c:v>
                </c:pt>
                <c:pt idx="4">
                  <c:v>0.97959999999999992</c:v>
                </c:pt>
              </c:numCache>
            </c:numRef>
          </c:xVal>
          <c:yVal>
            <c:numRef>
              <c:f>'Pràctica P'!$G$90:$G$94</c:f>
              <c:numCache>
                <c:formatCode>0.000000</c:formatCode>
                <c:ptCount val="5"/>
                <c:pt idx="0">
                  <c:v>0.51925623849011271</c:v>
                </c:pt>
                <c:pt idx="1">
                  <c:v>0.52869012415568162</c:v>
                </c:pt>
                <c:pt idx="2">
                  <c:v>0.39442117349720651</c:v>
                </c:pt>
                <c:pt idx="3">
                  <c:v>0.18449286734015558</c:v>
                </c:pt>
                <c:pt idx="4">
                  <c:v>2.8360507224951537E-2</c:v>
                </c:pt>
              </c:numCache>
            </c:numRef>
          </c:yVal>
          <c:smooth val="0"/>
          <c:extLst>
            <c:ext xmlns:c16="http://schemas.microsoft.com/office/drawing/2014/chart" uri="{C3380CC4-5D6E-409C-BE32-E72D297353CC}">
              <c16:uniqueId val="{00000002-3605-5A45-A7BA-4D874D902FAF}"/>
            </c:ext>
          </c:extLst>
        </c:ser>
        <c:ser>
          <c:idx val="2"/>
          <c:order val="2"/>
          <c:tx>
            <c:v>Average</c:v>
          </c:tx>
          <c:spPr>
            <a:ln w="25400" cap="rnd">
              <a:noFill/>
              <a:round/>
            </a:ln>
            <a:effectLst/>
          </c:spPr>
          <c:marker>
            <c:symbol val="circle"/>
            <c:size val="5"/>
            <c:spPr>
              <a:solidFill>
                <a:srgbClr val="7030A0"/>
              </a:solidFill>
              <a:ln w="9525">
                <a:solidFill>
                  <a:srgbClr val="7030A0"/>
                </a:solidFill>
              </a:ln>
              <a:effectLst/>
            </c:spPr>
          </c:marker>
          <c:trendline>
            <c:spPr>
              <a:ln w="19050" cap="rnd">
                <a:solidFill>
                  <a:srgbClr val="7030A0"/>
                </a:solidFill>
                <a:prstDash val="sysDot"/>
              </a:ln>
              <a:effectLst/>
            </c:spPr>
            <c:trendlineType val="linear"/>
            <c:dispRSqr val="1"/>
            <c:dispEq val="1"/>
            <c:trendlineLbl>
              <c:layout>
                <c:manualLayout>
                  <c:x val="0.19782650637276772"/>
                  <c:y val="0.21002710027100274"/>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trendlineLbl>
          </c:trendline>
          <c:xVal>
            <c:numRef>
              <c:f>'Pràctica P'!$E$85:$E$88</c:f>
              <c:numCache>
                <c:formatCode>0.00</c:formatCode>
                <c:ptCount val="4"/>
                <c:pt idx="0">
                  <c:v>0.97959999999999992</c:v>
                </c:pt>
                <c:pt idx="1">
                  <c:v>1.9591999999999998</c:v>
                </c:pt>
                <c:pt idx="2">
                  <c:v>2.9388000000000001</c:v>
                </c:pt>
                <c:pt idx="3">
                  <c:v>3.9183999999999997</c:v>
                </c:pt>
              </c:numCache>
            </c:numRef>
          </c:xVal>
          <c:yVal>
            <c:numRef>
              <c:f>'Pràctica P'!$S$85:$S$88</c:f>
              <c:numCache>
                <c:formatCode>0.000000</c:formatCode>
                <c:ptCount val="4"/>
                <c:pt idx="0">
                  <c:v>8.6012992000520483E-2</c:v>
                </c:pt>
                <c:pt idx="1">
                  <c:v>0.27343589590830242</c:v>
                </c:pt>
                <c:pt idx="2">
                  <c:v>0.41483929447189194</c:v>
                </c:pt>
                <c:pt idx="3">
                  <c:v>0.52920110213258886</c:v>
                </c:pt>
              </c:numCache>
            </c:numRef>
          </c:yVal>
          <c:smooth val="0"/>
          <c:extLst>
            <c:ext xmlns:c16="http://schemas.microsoft.com/office/drawing/2014/chart" uri="{C3380CC4-5D6E-409C-BE32-E72D297353CC}">
              <c16:uniqueId val="{00000002-DC5A-F146-9ECC-EE1E4B8EB082}"/>
            </c:ext>
          </c:extLst>
        </c:ser>
        <c:dLbls>
          <c:showLegendKey val="0"/>
          <c:showVal val="0"/>
          <c:showCatName val="0"/>
          <c:showSerName val="0"/>
          <c:showPercent val="0"/>
          <c:showBubbleSize val="0"/>
        </c:dLbls>
        <c:axId val="487778896"/>
        <c:axId val="523699072"/>
      </c:scatterChart>
      <c:valAx>
        <c:axId val="487778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_tradnl"/>
                  <a:t>[Br</a:t>
                </a:r>
                <a:r>
                  <a:rPr lang="es-ES_tradnl" baseline="0"/>
                  <a:t> -]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23699072"/>
        <c:crosses val="autoZero"/>
        <c:crossBetween val="midCat"/>
      </c:valAx>
      <c:valAx>
        <c:axId val="523699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_tradnl"/>
                  <a:t>(Fo/F -1)</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877788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1.png"/><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0</xdr:rowOff>
    </xdr:from>
    <xdr:to>
      <xdr:col>5</xdr:col>
      <xdr:colOff>1447800</xdr:colOff>
      <xdr:row>24</xdr:row>
      <xdr:rowOff>3672840</xdr:rowOff>
    </xdr:to>
    <xdr:graphicFrame macro="">
      <xdr:nvGraphicFramePr>
        <xdr:cNvPr id="2" name="Chart 2">
          <a:extLst>
            <a:ext uri="{FF2B5EF4-FFF2-40B4-BE49-F238E27FC236}">
              <a16:creationId xmlns:a16="http://schemas.microsoft.com/office/drawing/2014/main" id="{225BA00F-4992-43EF-B18C-D01AF1582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46</xdr:row>
      <xdr:rowOff>76200</xdr:rowOff>
    </xdr:from>
    <xdr:to>
      <xdr:col>5</xdr:col>
      <xdr:colOff>1409700</xdr:colOff>
      <xdr:row>46</xdr:row>
      <xdr:rowOff>3741420</xdr:rowOff>
    </xdr:to>
    <xdr:graphicFrame macro="">
      <xdr:nvGraphicFramePr>
        <xdr:cNvPr id="4" name="Chart 3">
          <a:extLst>
            <a:ext uri="{FF2B5EF4-FFF2-40B4-BE49-F238E27FC236}">
              <a16:creationId xmlns:a16="http://schemas.microsoft.com/office/drawing/2014/main" id="{23B3A144-A451-4496-B394-683A0DA82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281940</xdr:colOff>
      <xdr:row>46</xdr:row>
      <xdr:rowOff>3749040</xdr:rowOff>
    </xdr:from>
    <xdr:to>
      <xdr:col>8</xdr:col>
      <xdr:colOff>609108</xdr:colOff>
      <xdr:row>49</xdr:row>
      <xdr:rowOff>19140</xdr:rowOff>
    </xdr:to>
    <xdr:pic>
      <xdr:nvPicPr>
        <xdr:cNvPr id="6" name="Picture 4">
          <a:extLst>
            <a:ext uri="{FF2B5EF4-FFF2-40B4-BE49-F238E27FC236}">
              <a16:creationId xmlns:a16="http://schemas.microsoft.com/office/drawing/2014/main" id="{BE6F7F4A-C2A1-4D8A-A2ED-4DE8D0F51D2F}"/>
            </a:ext>
          </a:extLst>
        </xdr:cNvPr>
        <xdr:cNvPicPr>
          <a:picLocks noChangeAspect="1"/>
        </xdr:cNvPicPr>
      </xdr:nvPicPr>
      <xdr:blipFill>
        <a:blip xmlns:r="http://schemas.openxmlformats.org/officeDocument/2006/relationships" r:embed="rId3"/>
        <a:stretch>
          <a:fillRect/>
        </a:stretch>
      </xdr:blipFill>
      <xdr:spPr>
        <a:xfrm>
          <a:off x="7132320" y="19469100"/>
          <a:ext cx="2338848" cy="461100"/>
        </a:xfrm>
        <a:prstGeom prst="rect">
          <a:avLst/>
        </a:prstGeom>
      </xdr:spPr>
    </xdr:pic>
    <xdr:clientData/>
  </xdr:twoCellAnchor>
  <xdr:twoCellAnchor editAs="oneCell">
    <xdr:from>
      <xdr:col>6</xdr:col>
      <xdr:colOff>286908</xdr:colOff>
      <xdr:row>49</xdr:row>
      <xdr:rowOff>97517</xdr:rowOff>
    </xdr:from>
    <xdr:to>
      <xdr:col>11</xdr:col>
      <xdr:colOff>106836</xdr:colOff>
      <xdr:row>54</xdr:row>
      <xdr:rowOff>84010</xdr:rowOff>
    </xdr:to>
    <xdr:pic>
      <xdr:nvPicPr>
        <xdr:cNvPr id="7" name="Picture 5">
          <a:extLst>
            <a:ext uri="{FF2B5EF4-FFF2-40B4-BE49-F238E27FC236}">
              <a16:creationId xmlns:a16="http://schemas.microsoft.com/office/drawing/2014/main" id="{83474E64-B675-4E56-A424-3F09E5997A22}"/>
            </a:ext>
          </a:extLst>
        </xdr:cNvPr>
        <xdr:cNvPicPr>
          <a:picLocks noChangeAspect="1"/>
        </xdr:cNvPicPr>
      </xdr:nvPicPr>
      <xdr:blipFill>
        <a:blip xmlns:r="http://schemas.openxmlformats.org/officeDocument/2006/relationships" r:embed="rId4"/>
        <a:stretch>
          <a:fillRect/>
        </a:stretch>
      </xdr:blipFill>
      <xdr:spPr>
        <a:xfrm>
          <a:off x="7137288" y="20008577"/>
          <a:ext cx="4849128" cy="1510493"/>
        </a:xfrm>
        <a:prstGeom prst="rect">
          <a:avLst/>
        </a:prstGeom>
      </xdr:spPr>
    </xdr:pic>
    <xdr:clientData/>
  </xdr:twoCellAnchor>
  <xdr:twoCellAnchor>
    <xdr:from>
      <xdr:col>7</xdr:col>
      <xdr:colOff>53341</xdr:colOff>
      <xdr:row>24</xdr:row>
      <xdr:rowOff>104140</xdr:rowOff>
    </xdr:from>
    <xdr:to>
      <xdr:col>12</xdr:col>
      <xdr:colOff>905608</xdr:colOff>
      <xdr:row>24</xdr:row>
      <xdr:rowOff>3790462</xdr:rowOff>
    </xdr:to>
    <xdr:graphicFrame macro="">
      <xdr:nvGraphicFramePr>
        <xdr:cNvPr id="5" name="Chart 2">
          <a:extLst>
            <a:ext uri="{FF2B5EF4-FFF2-40B4-BE49-F238E27FC236}">
              <a16:creationId xmlns:a16="http://schemas.microsoft.com/office/drawing/2014/main" id="{0FBC4209-6A6A-4BC9-06A9-6D87307D4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609600</xdr:colOff>
      <xdr:row>65</xdr:row>
      <xdr:rowOff>43546</xdr:rowOff>
    </xdr:from>
    <xdr:to>
      <xdr:col>6</xdr:col>
      <xdr:colOff>555424</xdr:colOff>
      <xdr:row>67</xdr:row>
      <xdr:rowOff>33975</xdr:rowOff>
    </xdr:to>
    <xdr:pic>
      <xdr:nvPicPr>
        <xdr:cNvPr id="18" name="Picture 10">
          <a:extLst>
            <a:ext uri="{FF2B5EF4-FFF2-40B4-BE49-F238E27FC236}">
              <a16:creationId xmlns:a16="http://schemas.microsoft.com/office/drawing/2014/main" id="{CE8E48CD-34AE-D6DC-54B9-3BB98529563B}"/>
            </a:ext>
          </a:extLst>
        </xdr:cNvPr>
        <xdr:cNvPicPr>
          <a:picLocks noChangeAspect="1"/>
        </xdr:cNvPicPr>
      </xdr:nvPicPr>
      <xdr:blipFill>
        <a:blip xmlns:r="http://schemas.openxmlformats.org/officeDocument/2006/relationships" r:embed="rId6"/>
        <a:stretch>
          <a:fillRect/>
        </a:stretch>
      </xdr:blipFill>
      <xdr:spPr>
        <a:xfrm>
          <a:off x="5943600" y="26365203"/>
          <a:ext cx="1609524" cy="371429"/>
        </a:xfrm>
        <a:prstGeom prst="rect">
          <a:avLst/>
        </a:prstGeom>
      </xdr:spPr>
    </xdr:pic>
    <xdr:clientData/>
  </xdr:twoCellAnchor>
  <xdr:twoCellAnchor>
    <xdr:from>
      <xdr:col>0</xdr:col>
      <xdr:colOff>30480</xdr:colOff>
      <xdr:row>96</xdr:row>
      <xdr:rowOff>101600</xdr:rowOff>
    </xdr:from>
    <xdr:to>
      <xdr:col>5</xdr:col>
      <xdr:colOff>1625600</xdr:colOff>
      <xdr:row>96</xdr:row>
      <xdr:rowOff>3769360</xdr:rowOff>
    </xdr:to>
    <xdr:graphicFrame macro="">
      <xdr:nvGraphicFramePr>
        <xdr:cNvPr id="24" name="Gráfico 2">
          <a:extLst>
            <a:ext uri="{FF2B5EF4-FFF2-40B4-BE49-F238E27FC236}">
              <a16:creationId xmlns:a16="http://schemas.microsoft.com/office/drawing/2014/main" id="{70AC1F9B-BA52-AFB2-3FB6-DF4959D6F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30480</xdr:colOff>
      <xdr:row>96</xdr:row>
      <xdr:rowOff>30480</xdr:rowOff>
    </xdr:from>
    <xdr:to>
      <xdr:col>12</xdr:col>
      <xdr:colOff>1076960</xdr:colOff>
      <xdr:row>96</xdr:row>
      <xdr:rowOff>3779520</xdr:rowOff>
    </xdr:to>
    <xdr:graphicFrame macro="">
      <xdr:nvGraphicFramePr>
        <xdr:cNvPr id="27" name="Gráfico 19">
          <a:extLst>
            <a:ext uri="{FF2B5EF4-FFF2-40B4-BE49-F238E27FC236}">
              <a16:creationId xmlns:a16="http://schemas.microsoft.com/office/drawing/2014/main" id="{99562900-055A-B5B7-0DD6-3381D81DC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87085</xdr:colOff>
      <xdr:row>100</xdr:row>
      <xdr:rowOff>174172</xdr:rowOff>
    </xdr:from>
    <xdr:to>
      <xdr:col>11</xdr:col>
      <xdr:colOff>780143</xdr:colOff>
      <xdr:row>101</xdr:row>
      <xdr:rowOff>1779871</xdr:rowOff>
    </xdr:to>
    <xdr:pic>
      <xdr:nvPicPr>
        <xdr:cNvPr id="33" name="Picture 99">
          <a:extLst>
            <a:ext uri="{FF2B5EF4-FFF2-40B4-BE49-F238E27FC236}">
              <a16:creationId xmlns:a16="http://schemas.microsoft.com/office/drawing/2014/main" id="{6A4ED1F7-A210-FFC8-5F15-91DC457FED48}"/>
            </a:ext>
          </a:extLst>
        </xdr:cNvPr>
        <xdr:cNvPicPr>
          <a:picLocks noChangeAspect="1"/>
        </xdr:cNvPicPr>
      </xdr:nvPicPr>
      <xdr:blipFill>
        <a:blip xmlns:r="http://schemas.openxmlformats.org/officeDocument/2006/relationships" r:embed="rId9"/>
        <a:stretch>
          <a:fillRect/>
        </a:stretch>
      </xdr:blipFill>
      <xdr:spPr>
        <a:xfrm>
          <a:off x="9916885" y="39558686"/>
          <a:ext cx="2928258" cy="179619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6"/>
  <sheetViews>
    <sheetView showGridLines="0" tabSelected="1" topLeftCell="A23" zoomScale="75" zoomScaleNormal="70" workbookViewId="0">
      <selection activeCell="J37" sqref="J37"/>
    </sheetView>
  </sheetViews>
  <sheetFormatPr baseColWidth="10" defaultColWidth="11.5" defaultRowHeight="23.25" customHeight="1" x14ac:dyDescent="0.2"/>
  <cols>
    <col min="1" max="1" width="19.33203125" style="6" customWidth="1"/>
    <col min="2" max="5" width="14.6640625" style="6" customWidth="1"/>
    <col min="6" max="6" width="21.83203125" style="6" customWidth="1"/>
    <col min="7" max="13" width="14.6640625" style="6" customWidth="1"/>
    <col min="14" max="16384" width="11.5" style="6"/>
  </cols>
  <sheetData>
    <row r="1" spans="1:17" ht="21" customHeight="1" x14ac:dyDescent="0.2">
      <c r="A1" s="5" t="s">
        <v>11</v>
      </c>
    </row>
    <row r="2" spans="1:17" s="8" customFormat="1" ht="15" customHeight="1" x14ac:dyDescent="0.2">
      <c r="A2" s="7" t="s">
        <v>8</v>
      </c>
      <c r="B2" s="27" t="s">
        <v>53</v>
      </c>
      <c r="E2" s="7" t="s">
        <v>7</v>
      </c>
      <c r="F2" s="28">
        <v>45772</v>
      </c>
    </row>
    <row r="3" spans="1:17" s="8" customFormat="1" ht="15" customHeight="1" x14ac:dyDescent="0.2">
      <c r="A3" s="7" t="s">
        <v>10</v>
      </c>
      <c r="B3" s="27" t="s">
        <v>54</v>
      </c>
      <c r="E3" s="7" t="s">
        <v>9</v>
      </c>
      <c r="F3" s="27" t="s">
        <v>55</v>
      </c>
    </row>
    <row r="4" spans="1:17" s="8" customFormat="1" ht="15" customHeight="1" x14ac:dyDescent="0.2">
      <c r="A4" s="7"/>
    </row>
    <row r="5" spans="1:17" s="8" customFormat="1" ht="15" customHeight="1" x14ac:dyDescent="0.2">
      <c r="A5" s="9" t="s">
        <v>12</v>
      </c>
    </row>
    <row r="6" spans="1:17" ht="60" customHeight="1" x14ac:dyDescent="0.2">
      <c r="A6" s="89" t="s">
        <v>115</v>
      </c>
      <c r="B6" s="89"/>
      <c r="C6" s="89"/>
      <c r="D6" s="89"/>
      <c r="E6" s="89"/>
      <c r="F6" s="89"/>
    </row>
    <row r="7" spans="1:17" ht="15" customHeight="1" x14ac:dyDescent="0.2"/>
    <row r="8" spans="1:17" ht="15" customHeight="1" x14ac:dyDescent="0.2">
      <c r="A8" s="9" t="s">
        <v>13</v>
      </c>
    </row>
    <row r="9" spans="1:17" ht="75" customHeight="1" x14ac:dyDescent="0.2">
      <c r="A9" s="89" t="s">
        <v>105</v>
      </c>
      <c r="B9" s="89"/>
      <c r="C9" s="89"/>
      <c r="D9" s="89"/>
      <c r="E9" s="89"/>
      <c r="F9" s="89"/>
    </row>
    <row r="10" spans="1:17" ht="15" customHeight="1" x14ac:dyDescent="0.2"/>
    <row r="11" spans="1:17" ht="15" customHeight="1" x14ac:dyDescent="0.2">
      <c r="A11" s="9" t="s">
        <v>14</v>
      </c>
    </row>
    <row r="12" spans="1:17" ht="30" x14ac:dyDescent="0.2">
      <c r="A12" s="2" t="s">
        <v>16</v>
      </c>
      <c r="B12" s="2" t="s">
        <v>20</v>
      </c>
      <c r="C12" s="3" t="s">
        <v>24</v>
      </c>
      <c r="D12" s="2" t="s">
        <v>52</v>
      </c>
      <c r="E12" s="3" t="s">
        <v>51</v>
      </c>
      <c r="F12" s="3" t="s">
        <v>19</v>
      </c>
      <c r="G12" s="3" t="s">
        <v>18</v>
      </c>
      <c r="I12" s="6" t="s">
        <v>47</v>
      </c>
      <c r="P12" s="8"/>
      <c r="Q12" s="8"/>
    </row>
    <row r="13" spans="1:17" ht="15" customHeight="1" x14ac:dyDescent="0.2">
      <c r="A13" s="3">
        <v>10</v>
      </c>
      <c r="B13" s="16">
        <v>25</v>
      </c>
      <c r="C13" s="16">
        <v>25</v>
      </c>
      <c r="D13" s="3">
        <f>A13*B13/C13</f>
        <v>10</v>
      </c>
      <c r="E13" s="3">
        <f>998.981</f>
        <v>998.98099999999999</v>
      </c>
      <c r="F13" s="18">
        <f>LOG10(D13)</f>
        <v>1</v>
      </c>
      <c r="G13" s="18">
        <f>LOG10(E13)</f>
        <v>2.999557228292423</v>
      </c>
      <c r="I13" s="6" t="s">
        <v>49</v>
      </c>
      <c r="P13" s="8"/>
      <c r="Q13" s="8"/>
    </row>
    <row r="14" spans="1:17" ht="15" customHeight="1" x14ac:dyDescent="0.2">
      <c r="A14" s="3">
        <v>10</v>
      </c>
      <c r="B14" s="16">
        <v>2.5</v>
      </c>
      <c r="C14" s="16">
        <v>25</v>
      </c>
      <c r="D14" s="16">
        <f t="shared" ref="D14:D22" si="0">A14*B14/C14</f>
        <v>1</v>
      </c>
      <c r="E14" s="3">
        <f>434.761</f>
        <v>434.76100000000002</v>
      </c>
      <c r="F14" s="18">
        <f t="shared" ref="F14:F22" si="1">LOG10(D14)</f>
        <v>0</v>
      </c>
      <c r="G14" s="18">
        <f t="shared" ref="G14:G22" si="2">LOG10(E14)</f>
        <v>2.6382505790102657</v>
      </c>
      <c r="P14" s="8"/>
      <c r="Q14" s="8"/>
    </row>
    <row r="15" spans="1:17" ht="15" customHeight="1" x14ac:dyDescent="0.2">
      <c r="A15" s="23">
        <v>10</v>
      </c>
      <c r="B15" s="26">
        <v>1.25</v>
      </c>
      <c r="C15" s="26">
        <v>25</v>
      </c>
      <c r="D15" s="25">
        <f t="shared" si="0"/>
        <v>0.5</v>
      </c>
      <c r="E15" s="23">
        <v>227.37700000000001</v>
      </c>
      <c r="F15" s="24">
        <f t="shared" si="1"/>
        <v>-0.3010299956639812</v>
      </c>
      <c r="G15" s="24">
        <f t="shared" si="2"/>
        <v>2.3567465321271475</v>
      </c>
    </row>
    <row r="16" spans="1:17" ht="15" customHeight="1" x14ac:dyDescent="0.2">
      <c r="A16" s="16">
        <f>A14/10</f>
        <v>1</v>
      </c>
      <c r="B16" s="16">
        <v>2.5</v>
      </c>
      <c r="C16" s="16">
        <v>25</v>
      </c>
      <c r="D16" s="17">
        <f>A16*B16/C16</f>
        <v>0.1</v>
      </c>
      <c r="E16" s="3">
        <f>43.979</f>
        <v>43.978999999999999</v>
      </c>
      <c r="F16" s="18">
        <f t="shared" si="1"/>
        <v>-1</v>
      </c>
      <c r="G16" s="18">
        <f t="shared" si="2"/>
        <v>1.6432453500948174</v>
      </c>
      <c r="I16" s="6" t="s">
        <v>48</v>
      </c>
    </row>
    <row r="17" spans="1:19" ht="15" customHeight="1" x14ac:dyDescent="0.2">
      <c r="A17" s="25">
        <f>D15</f>
        <v>0.5</v>
      </c>
      <c r="B17" s="26">
        <v>2.5</v>
      </c>
      <c r="C17" s="26">
        <v>25</v>
      </c>
      <c r="D17" s="24">
        <f t="shared" si="0"/>
        <v>0.05</v>
      </c>
      <c r="E17" s="23">
        <v>21.765999999999998</v>
      </c>
      <c r="F17" s="24">
        <f t="shared" si="1"/>
        <v>-1.3010299956639813</v>
      </c>
      <c r="G17" s="24">
        <f t="shared" si="2"/>
        <v>1.3377786248361834</v>
      </c>
      <c r="I17" s="6" t="s">
        <v>50</v>
      </c>
    </row>
    <row r="18" spans="1:19" ht="15" customHeight="1" x14ac:dyDescent="0.2">
      <c r="A18" s="17">
        <f>A16/10</f>
        <v>0.1</v>
      </c>
      <c r="B18" s="16">
        <v>2.5</v>
      </c>
      <c r="C18" s="16">
        <v>25</v>
      </c>
      <c r="D18" s="18">
        <f t="shared" si="0"/>
        <v>0.01</v>
      </c>
      <c r="E18" s="3">
        <f>4.392</f>
        <v>4.3920000000000003</v>
      </c>
      <c r="F18" s="18">
        <f t="shared" si="1"/>
        <v>-2</v>
      </c>
      <c r="G18" s="18">
        <f t="shared" si="2"/>
        <v>0.64266233144203555</v>
      </c>
    </row>
    <row r="19" spans="1:19" ht="15" customHeight="1" x14ac:dyDescent="0.2">
      <c r="A19" s="18">
        <f t="shared" ref="A19:A20" si="3">A18/10</f>
        <v>0.01</v>
      </c>
      <c r="B19" s="16">
        <v>2.5</v>
      </c>
      <c r="C19" s="16">
        <v>25</v>
      </c>
      <c r="D19" s="19">
        <f t="shared" si="0"/>
        <v>1E-3</v>
      </c>
      <c r="E19" s="3">
        <f>-0.178</f>
        <v>-0.17799999999999999</v>
      </c>
      <c r="F19" s="18">
        <f t="shared" si="1"/>
        <v>-3</v>
      </c>
      <c r="G19" s="18" t="e">
        <f t="shared" si="2"/>
        <v>#NUM!</v>
      </c>
      <c r="H19" s="49">
        <f>-1/5</f>
        <v>-0.2</v>
      </c>
    </row>
    <row r="20" spans="1:19" ht="15" customHeight="1" x14ac:dyDescent="0.2">
      <c r="A20" s="19">
        <f t="shared" si="3"/>
        <v>1E-3</v>
      </c>
      <c r="B20" s="16">
        <v>2.5</v>
      </c>
      <c r="C20" s="16">
        <v>25</v>
      </c>
      <c r="D20" s="20">
        <f t="shared" si="0"/>
        <v>1E-4</v>
      </c>
      <c r="E20" s="3">
        <f>-0.535</f>
        <v>-0.53500000000000003</v>
      </c>
      <c r="F20" s="18">
        <f t="shared" si="1"/>
        <v>-4</v>
      </c>
      <c r="G20" s="18" t="e">
        <f t="shared" si="2"/>
        <v>#NUM!</v>
      </c>
      <c r="H20" s="49">
        <f>-1/5</f>
        <v>-0.2</v>
      </c>
    </row>
    <row r="21" spans="1:19" ht="15" customHeight="1" x14ac:dyDescent="0.2">
      <c r="A21" s="20">
        <f>A20/10</f>
        <v>1E-4</v>
      </c>
      <c r="B21" s="16">
        <v>2.5</v>
      </c>
      <c r="C21" s="16">
        <v>25</v>
      </c>
      <c r="D21" s="21">
        <f t="shared" si="0"/>
        <v>1.0000000000000001E-5</v>
      </c>
      <c r="E21" s="3">
        <f>-0.623</f>
        <v>-0.623</v>
      </c>
      <c r="F21" s="18">
        <f t="shared" si="1"/>
        <v>-5</v>
      </c>
      <c r="G21" s="18" t="e">
        <f t="shared" si="2"/>
        <v>#NUM!</v>
      </c>
      <c r="H21" s="49">
        <f>-1/5</f>
        <v>-0.2</v>
      </c>
    </row>
    <row r="22" spans="1:19" ht="15" customHeight="1" x14ac:dyDescent="0.2">
      <c r="A22" s="21">
        <f>A21/10</f>
        <v>1.0000000000000001E-5</v>
      </c>
      <c r="B22" s="16">
        <v>2.5</v>
      </c>
      <c r="C22" s="16">
        <v>25</v>
      </c>
      <c r="D22" s="22">
        <f t="shared" si="0"/>
        <v>9.9999999999999995E-7</v>
      </c>
      <c r="E22" s="3">
        <v>-0.71099999999999997</v>
      </c>
      <c r="F22" s="18">
        <f t="shared" si="1"/>
        <v>-6</v>
      </c>
      <c r="G22" s="18" t="e">
        <f t="shared" si="2"/>
        <v>#NUM!</v>
      </c>
      <c r="H22" s="49">
        <f>-1/5</f>
        <v>-0.2</v>
      </c>
    </row>
    <row r="23" spans="1:19" ht="15" customHeight="1" x14ac:dyDescent="0.2"/>
    <row r="24" spans="1:19" ht="15" customHeight="1" x14ac:dyDescent="0.2">
      <c r="A24" s="11" t="s">
        <v>4</v>
      </c>
      <c r="B24" s="12"/>
      <c r="C24" s="12"/>
      <c r="D24" s="12"/>
      <c r="E24" s="12"/>
      <c r="F24" s="13"/>
      <c r="H24" s="11" t="s">
        <v>42</v>
      </c>
      <c r="I24" s="12"/>
      <c r="J24" s="12"/>
      <c r="K24" s="12"/>
      <c r="L24" s="12"/>
      <c r="M24" s="13"/>
    </row>
    <row r="25" spans="1:19" ht="300" customHeight="1" x14ac:dyDescent="0.2">
      <c r="A25" s="94"/>
      <c r="B25" s="95"/>
      <c r="C25" s="95"/>
      <c r="D25" s="95"/>
      <c r="E25" s="95"/>
      <c r="F25" s="96"/>
      <c r="H25" s="94"/>
      <c r="I25" s="95"/>
      <c r="J25" s="95"/>
      <c r="K25" s="95"/>
      <c r="L25" s="95"/>
      <c r="M25" s="96"/>
    </row>
    <row r="26" spans="1:19" ht="15" customHeight="1" x14ac:dyDescent="0.2"/>
    <row r="27" spans="1:19" ht="15" customHeight="1" x14ac:dyDescent="0.2">
      <c r="A27" s="9" t="s">
        <v>41</v>
      </c>
      <c r="H27" s="9"/>
      <c r="I27" s="9"/>
      <c r="J27" s="9"/>
      <c r="K27" s="9"/>
      <c r="L27" s="9"/>
      <c r="M27" s="9"/>
      <c r="N27" s="9"/>
      <c r="O27" s="9"/>
      <c r="P27" s="9"/>
      <c r="Q27" s="9"/>
      <c r="R27" s="9"/>
      <c r="S27" s="9"/>
    </row>
    <row r="28" spans="1:19" ht="72" customHeight="1" x14ac:dyDescent="0.2">
      <c r="A28" s="89" t="s">
        <v>106</v>
      </c>
      <c r="B28" s="89"/>
      <c r="C28" s="89"/>
      <c r="D28" s="89"/>
      <c r="E28" s="89"/>
      <c r="F28" s="89"/>
      <c r="H28" s="3" t="s">
        <v>19</v>
      </c>
      <c r="I28" s="3" t="s">
        <v>18</v>
      </c>
      <c r="J28" s="6" cm="1">
        <f t="array" ref="J28:K32">LINEST(I29:I32,H29:H32,1,1)</f>
        <v>0.80656899194666121</v>
      </c>
      <c r="K28" s="6">
        <v>2.3842133681832163</v>
      </c>
      <c r="M28" s="3" t="s">
        <v>19</v>
      </c>
      <c r="N28" s="3" t="s">
        <v>18</v>
      </c>
      <c r="O28" s="6" cm="1">
        <f t="array" ref="O28:P32">LINEST(N29:N31,M29:M31,1,1)</f>
        <v>0.99779412378411503</v>
      </c>
      <c r="P28" s="6">
        <v>2.6391802106331546</v>
      </c>
      <c r="Q28" s="9"/>
      <c r="R28" s="9"/>
      <c r="S28" s="9"/>
    </row>
    <row r="29" spans="1:19" ht="15" customHeight="1" x14ac:dyDescent="0.2">
      <c r="H29" s="18">
        <f>F13</f>
        <v>1</v>
      </c>
      <c r="I29" s="18">
        <f>G13</f>
        <v>2.999557228292423</v>
      </c>
      <c r="J29" s="6">
        <v>0.11040622964484285</v>
      </c>
      <c r="K29" s="6">
        <v>0.13521946352720332</v>
      </c>
      <c r="M29" s="18">
        <f>F14</f>
        <v>0</v>
      </c>
      <c r="N29" s="18">
        <f>G14</f>
        <v>2.6382505790102657</v>
      </c>
      <c r="O29" s="6">
        <v>1.6101692031663291E-3</v>
      </c>
      <c r="P29" s="6">
        <v>2.0787195028130864E-3</v>
      </c>
      <c r="Q29" s="9"/>
      <c r="R29" s="9"/>
      <c r="S29" s="9"/>
    </row>
    <row r="30" spans="1:19" ht="15" customHeight="1" x14ac:dyDescent="0.2">
      <c r="B30" s="10" t="s">
        <v>21</v>
      </c>
      <c r="C30" s="10" t="s">
        <v>22</v>
      </c>
      <c r="H30" s="18">
        <f>F14</f>
        <v>0</v>
      </c>
      <c r="I30" s="18">
        <f>G14</f>
        <v>2.6382505790102657</v>
      </c>
      <c r="J30" s="30">
        <v>0.96387925145017683</v>
      </c>
      <c r="K30" s="6">
        <v>0.24687583462532109</v>
      </c>
      <c r="M30" s="18">
        <f>F16</f>
        <v>-1</v>
      </c>
      <c r="N30" s="18">
        <f>G16</f>
        <v>1.6432453500948174</v>
      </c>
      <c r="O30" s="30">
        <v>0.99999739588585312</v>
      </c>
      <c r="P30" s="6">
        <v>2.2771231248333024E-3</v>
      </c>
    </row>
    <row r="31" spans="1:19" ht="15" customHeight="1" x14ac:dyDescent="0.2">
      <c r="A31" s="10" t="s">
        <v>17</v>
      </c>
      <c r="B31" s="3" t="s">
        <v>56</v>
      </c>
      <c r="C31" s="3" t="s">
        <v>57</v>
      </c>
      <c r="H31" s="29">
        <f>F16</f>
        <v>-1</v>
      </c>
      <c r="I31" s="29">
        <f>G16</f>
        <v>1.6432453500948174</v>
      </c>
      <c r="J31" s="6">
        <v>53.369838120638633</v>
      </c>
      <c r="K31" s="6">
        <v>2</v>
      </c>
      <c r="M31" s="18">
        <f>LOG10(D18)</f>
        <v>-2</v>
      </c>
      <c r="N31" s="18">
        <f>LOG10(E18)</f>
        <v>0.64266233144203555</v>
      </c>
      <c r="O31" s="6">
        <v>384006.74451539764</v>
      </c>
      <c r="P31" s="6">
        <v>1</v>
      </c>
    </row>
    <row r="32" spans="1:19" ht="23.5" customHeight="1" x14ac:dyDescent="0.2">
      <c r="H32" s="18">
        <f>M31</f>
        <v>-2</v>
      </c>
      <c r="I32" s="18">
        <f>N31</f>
        <v>0.64266233144203555</v>
      </c>
      <c r="J32" s="6">
        <v>3.2527676938492656</v>
      </c>
      <c r="K32" s="6">
        <v>0.12189535544389778</v>
      </c>
      <c r="O32" s="6">
        <v>1.9911862269162199</v>
      </c>
      <c r="P32" s="6">
        <v>5.1852897256505832E-6</v>
      </c>
    </row>
    <row r="33" spans="1:16" ht="15" customHeight="1" x14ac:dyDescent="0.2">
      <c r="A33" s="11" t="s">
        <v>28</v>
      </c>
      <c r="B33" s="12"/>
      <c r="C33" s="12"/>
      <c r="D33" s="12"/>
      <c r="E33" s="12"/>
      <c r="F33" s="13"/>
      <c r="H33" s="6" t="s">
        <v>58</v>
      </c>
      <c r="K33" s="88" t="s">
        <v>107</v>
      </c>
      <c r="L33" s="53"/>
      <c r="M33" s="6" t="s">
        <v>59</v>
      </c>
      <c r="P33" s="53"/>
    </row>
    <row r="34" spans="1:16" ht="100" customHeight="1" x14ac:dyDescent="0.2">
      <c r="A34" s="90" t="s">
        <v>60</v>
      </c>
      <c r="B34" s="91"/>
      <c r="C34" s="91"/>
      <c r="D34" s="91"/>
      <c r="E34" s="91"/>
      <c r="F34" s="92"/>
    </row>
    <row r="35" spans="1:16" ht="15" customHeight="1" x14ac:dyDescent="0.2"/>
    <row r="36" spans="1:16" ht="15" customHeight="1" x14ac:dyDescent="0.15">
      <c r="A36" s="9" t="s">
        <v>29</v>
      </c>
      <c r="H36" s="104" t="s">
        <v>108</v>
      </c>
      <c r="I36" s="104"/>
      <c r="J36" s="104"/>
      <c r="K36" s="104"/>
    </row>
    <row r="37" spans="1:16" ht="30" x14ac:dyDescent="0.2">
      <c r="A37" s="2" t="s">
        <v>16</v>
      </c>
      <c r="B37" s="2" t="s">
        <v>20</v>
      </c>
      <c r="C37" s="3" t="s">
        <v>3</v>
      </c>
      <c r="D37" s="2" t="s">
        <v>23</v>
      </c>
      <c r="E37" s="50" t="s">
        <v>15</v>
      </c>
      <c r="F37" s="54"/>
      <c r="G37" s="14"/>
      <c r="H37" s="35" t="s">
        <v>62</v>
      </c>
      <c r="I37" s="39" cm="1">
        <f t="array" ref="I37:J41">LINEST(E38:E42,D38:D42,1,1)</f>
        <v>436.9262944847361</v>
      </c>
      <c r="J37" s="39">
        <v>1.3954702310676055</v>
      </c>
      <c r="K37" s="6" t="s">
        <v>67</v>
      </c>
    </row>
    <row r="38" spans="1:16" ht="15" customHeight="1" x14ac:dyDescent="0.2">
      <c r="A38" s="31">
        <v>10</v>
      </c>
      <c r="B38" s="16">
        <v>2.5</v>
      </c>
      <c r="C38" s="16">
        <v>25</v>
      </c>
      <c r="D38" s="16">
        <f t="shared" ref="D38:D39" si="4">A38*B38/C38</f>
        <v>1</v>
      </c>
      <c r="E38" s="50">
        <f>434.761</f>
        <v>434.76100000000002</v>
      </c>
      <c r="F38" s="55"/>
      <c r="G38" s="53"/>
      <c r="H38" s="35" t="s">
        <v>63</v>
      </c>
      <c r="I38" s="39">
        <v>5.9078444399462056</v>
      </c>
      <c r="J38" s="39">
        <v>2.9687726586900962</v>
      </c>
      <c r="K38" s="6" t="s">
        <v>68</v>
      </c>
    </row>
    <row r="39" spans="1:16" ht="15" customHeight="1" x14ac:dyDescent="0.2">
      <c r="A39" s="32">
        <v>10</v>
      </c>
      <c r="B39" s="26">
        <v>1.25</v>
      </c>
      <c r="C39" s="26">
        <v>25</v>
      </c>
      <c r="D39" s="25">
        <f t="shared" si="4"/>
        <v>0.5</v>
      </c>
      <c r="E39" s="51">
        <v>227.37700000000001</v>
      </c>
      <c r="F39" s="55"/>
      <c r="G39" s="53"/>
      <c r="H39" s="36" t="s">
        <v>64</v>
      </c>
      <c r="I39" s="34">
        <v>0.99945181789216198</v>
      </c>
      <c r="J39" s="39">
        <v>4.9832238856246169</v>
      </c>
      <c r="K39" s="6" t="s">
        <v>69</v>
      </c>
    </row>
    <row r="40" spans="1:16" ht="15" customHeight="1" x14ac:dyDescent="0.2">
      <c r="A40" s="16">
        <f>A38/10</f>
        <v>1</v>
      </c>
      <c r="B40" s="16">
        <v>2.5</v>
      </c>
      <c r="C40" s="16">
        <v>25</v>
      </c>
      <c r="D40" s="17">
        <f>A40*B40/C40</f>
        <v>0.1</v>
      </c>
      <c r="E40" s="50">
        <f>43.979</f>
        <v>43.978999999999999</v>
      </c>
      <c r="F40" s="56"/>
      <c r="G40" s="53"/>
      <c r="H40" s="35" t="s">
        <v>65</v>
      </c>
      <c r="I40" s="39">
        <v>5469.6339242100439</v>
      </c>
      <c r="J40" s="6">
        <v>3</v>
      </c>
      <c r="K40" s="6" t="s">
        <v>70</v>
      </c>
    </row>
    <row r="41" spans="1:16" ht="15" customHeight="1" x14ac:dyDescent="0.2">
      <c r="A41" s="25">
        <f>D39</f>
        <v>0.5</v>
      </c>
      <c r="B41" s="26">
        <v>2.5</v>
      </c>
      <c r="C41" s="26">
        <v>25</v>
      </c>
      <c r="D41" s="24">
        <f t="shared" ref="D41:D42" si="5">A41*B41/C41</f>
        <v>0.05</v>
      </c>
      <c r="E41" s="51">
        <v>21.765999999999998</v>
      </c>
      <c r="F41" s="56"/>
      <c r="G41" s="53"/>
      <c r="H41" s="35" t="s">
        <v>66</v>
      </c>
      <c r="I41" s="38">
        <v>135824.79542511728</v>
      </c>
      <c r="J41" s="33">
        <v>74.497560882779126</v>
      </c>
      <c r="K41" s="6" t="s">
        <v>71</v>
      </c>
    </row>
    <row r="42" spans="1:16" ht="15" customHeight="1" x14ac:dyDescent="0.2">
      <c r="A42" s="17">
        <f>A40/10</f>
        <v>0.1</v>
      </c>
      <c r="B42" s="16">
        <v>2.5</v>
      </c>
      <c r="C42" s="16">
        <v>25</v>
      </c>
      <c r="D42" s="18">
        <f t="shared" si="5"/>
        <v>0.01</v>
      </c>
      <c r="E42" s="50">
        <f>4.392</f>
        <v>4.3920000000000003</v>
      </c>
      <c r="F42" s="56"/>
      <c r="G42" s="52"/>
    </row>
    <row r="43" spans="1:16" ht="15" customHeight="1" x14ac:dyDescent="0.2">
      <c r="A43" s="3"/>
      <c r="B43" s="3"/>
      <c r="C43" s="3"/>
      <c r="D43" s="3"/>
      <c r="E43" s="3"/>
      <c r="H43" s="44" t="s">
        <v>72</v>
      </c>
      <c r="I43" s="43">
        <f>AVERAGE(E38:E42)</f>
        <v>146.45500000000001</v>
      </c>
    </row>
    <row r="44" spans="1:16" ht="15" customHeight="1" x14ac:dyDescent="0.2">
      <c r="A44" s="3"/>
      <c r="B44" s="3"/>
      <c r="C44" s="3"/>
      <c r="D44" s="3"/>
      <c r="E44" s="3"/>
      <c r="H44" s="44" t="s">
        <v>73</v>
      </c>
      <c r="I44" s="45">
        <f>VARPA(D38:D42)*E49</f>
        <v>0.71147999999999989</v>
      </c>
    </row>
    <row r="45" spans="1:16" ht="15" customHeight="1" x14ac:dyDescent="0.2">
      <c r="A45" s="14"/>
      <c r="B45" s="14"/>
      <c r="C45" s="14"/>
      <c r="D45" s="14"/>
      <c r="E45" s="14"/>
      <c r="F45" s="14"/>
      <c r="G45" s="14"/>
      <c r="H45" s="44" t="s">
        <v>74</v>
      </c>
      <c r="I45" s="46">
        <f>_xlfn.T.INV.2T(0.05,J40)</f>
        <v>3.1824463052837091</v>
      </c>
    </row>
    <row r="46" spans="1:16" ht="15" customHeight="1" x14ac:dyDescent="0.2">
      <c r="A46" s="11" t="s">
        <v>4</v>
      </c>
      <c r="B46" s="12"/>
      <c r="C46" s="12"/>
      <c r="D46" s="12"/>
      <c r="E46" s="12"/>
      <c r="F46" s="13"/>
      <c r="H46" s="9"/>
    </row>
    <row r="47" spans="1:16" ht="300" customHeight="1" x14ac:dyDescent="0.2">
      <c r="A47" s="94"/>
      <c r="B47" s="95"/>
      <c r="C47" s="95"/>
      <c r="D47" s="95"/>
      <c r="E47" s="95"/>
      <c r="F47" s="96"/>
      <c r="H47" s="93"/>
      <c r="I47" s="93"/>
      <c r="J47" s="93"/>
      <c r="K47" s="93"/>
      <c r="L47" s="93"/>
      <c r="M47" s="93"/>
    </row>
    <row r="48" spans="1:16" ht="15" customHeight="1" x14ac:dyDescent="0.2">
      <c r="A48" s="3" t="s">
        <v>25</v>
      </c>
      <c r="B48" s="97" t="s">
        <v>102</v>
      </c>
      <c r="C48" s="97"/>
      <c r="D48" s="3" t="s">
        <v>27</v>
      </c>
      <c r="E48" s="102">
        <f>J39/I37*SQRT(1+1/E49+(C55-I43)^2/(I37^2*I44))</f>
        <v>1.2508998764146843E-2</v>
      </c>
      <c r="F48" s="102"/>
      <c r="G48" s="14"/>
    </row>
    <row r="49" spans="1:19" ht="15" customHeight="1" x14ac:dyDescent="0.2">
      <c r="A49" s="3" t="s">
        <v>26</v>
      </c>
      <c r="B49" s="97" t="s">
        <v>79</v>
      </c>
      <c r="C49" s="97"/>
      <c r="D49" s="3" t="s">
        <v>6</v>
      </c>
      <c r="E49" s="97">
        <f>COUNT(A38:A44)</f>
        <v>5</v>
      </c>
      <c r="F49" s="97"/>
      <c r="G49" s="14"/>
    </row>
    <row r="50" spans="1:19" ht="15" customHeight="1" x14ac:dyDescent="0.2">
      <c r="A50" s="14"/>
      <c r="B50" s="14"/>
      <c r="C50" s="14"/>
      <c r="D50" s="14"/>
      <c r="E50" s="14"/>
      <c r="F50" s="14"/>
      <c r="G50" s="14"/>
    </row>
    <row r="51" spans="1:19" ht="15" customHeight="1" x14ac:dyDescent="0.2">
      <c r="A51" s="9" t="s">
        <v>41</v>
      </c>
      <c r="H51" s="9"/>
      <c r="I51" s="9"/>
      <c r="J51" s="9"/>
      <c r="K51" s="9"/>
      <c r="L51" s="9"/>
      <c r="M51" s="9"/>
      <c r="N51" s="9"/>
      <c r="O51" s="9"/>
      <c r="P51" s="9"/>
      <c r="Q51" s="9"/>
      <c r="R51" s="9"/>
      <c r="S51" s="9"/>
    </row>
    <row r="52" spans="1:19" ht="60" customHeight="1" x14ac:dyDescent="0.2">
      <c r="A52" s="89" t="s">
        <v>109</v>
      </c>
      <c r="B52" s="89"/>
      <c r="C52" s="89"/>
      <c r="D52" s="89"/>
      <c r="E52" s="89"/>
      <c r="F52" s="89"/>
      <c r="H52" s="9"/>
      <c r="I52" s="9"/>
      <c r="J52" s="9"/>
      <c r="K52" s="9"/>
      <c r="L52" s="9"/>
      <c r="M52" s="9"/>
      <c r="N52" s="9"/>
      <c r="O52" s="9"/>
      <c r="P52" s="9"/>
      <c r="Q52" s="9"/>
      <c r="R52" s="9"/>
      <c r="S52" s="9"/>
    </row>
    <row r="53" spans="1:19" ht="15" customHeight="1" x14ac:dyDescent="0.2">
      <c r="A53" s="14"/>
      <c r="B53" s="14"/>
      <c r="C53" s="14"/>
      <c r="D53" s="14"/>
      <c r="E53" s="14"/>
      <c r="F53" s="14"/>
      <c r="G53" s="14"/>
    </row>
    <row r="54" spans="1:19" ht="15" customHeight="1" x14ac:dyDescent="0.2">
      <c r="B54" s="10" t="s">
        <v>5</v>
      </c>
      <c r="C54" s="10" t="s">
        <v>15</v>
      </c>
      <c r="D54" s="10" t="s">
        <v>2</v>
      </c>
      <c r="E54" s="10" t="s">
        <v>1</v>
      </c>
      <c r="F54" s="14"/>
      <c r="G54" s="14"/>
    </row>
    <row r="55" spans="1:19" ht="15" customHeight="1" x14ac:dyDescent="0.2">
      <c r="A55" s="15" t="s">
        <v>0</v>
      </c>
      <c r="B55" s="3">
        <f>10*10</f>
        <v>100</v>
      </c>
      <c r="C55" s="3">
        <v>166.40700000000001</v>
      </c>
      <c r="D55" s="87">
        <f>(C55-J37)/I37*B55</f>
        <v>37.766445245308311</v>
      </c>
      <c r="E55" s="87">
        <f>E48*I45*B55</f>
        <v>3.9809216899757605</v>
      </c>
      <c r="F55" s="14"/>
      <c r="G55" s="14"/>
    </row>
    <row r="56" spans="1:19" ht="15" customHeight="1" x14ac:dyDescent="0.2">
      <c r="D56" s="14" t="s">
        <v>81</v>
      </c>
      <c r="E56" s="14" t="s">
        <v>81</v>
      </c>
      <c r="F56" s="14"/>
      <c r="G56" s="14"/>
    </row>
    <row r="57" spans="1:19" ht="15" customHeight="1" x14ac:dyDescent="0.2">
      <c r="A57" s="11" t="s">
        <v>43</v>
      </c>
      <c r="B57" s="12"/>
      <c r="C57" s="12"/>
      <c r="D57" s="12"/>
      <c r="E57" s="12"/>
      <c r="F57" s="13"/>
      <c r="G57" s="14"/>
    </row>
    <row r="58" spans="1:19" ht="200" customHeight="1" x14ac:dyDescent="0.2">
      <c r="A58" s="99" t="s">
        <v>83</v>
      </c>
      <c r="B58" s="100"/>
      <c r="C58" s="100"/>
      <c r="D58" s="100"/>
      <c r="E58" s="100"/>
      <c r="F58" s="101"/>
      <c r="H58" s="93"/>
      <c r="I58" s="93"/>
      <c r="J58" s="93"/>
      <c r="K58" s="93"/>
      <c r="L58" s="93"/>
      <c r="M58" s="93"/>
    </row>
    <row r="59" spans="1:19" ht="15" customHeight="1" x14ac:dyDescent="0.2">
      <c r="F59" s="14"/>
      <c r="G59" s="14"/>
    </row>
    <row r="60" spans="1:19" ht="15" customHeight="1" x14ac:dyDescent="0.2">
      <c r="A60" s="9" t="s">
        <v>30</v>
      </c>
      <c r="B60" s="14"/>
      <c r="C60" s="14"/>
      <c r="D60" s="14"/>
      <c r="E60" s="14"/>
      <c r="F60" s="14"/>
      <c r="G60" s="14"/>
    </row>
    <row r="61" spans="1:19" ht="15" customHeight="1" x14ac:dyDescent="0.2">
      <c r="A61" s="9" t="s">
        <v>31</v>
      </c>
      <c r="B61" s="14"/>
      <c r="C61" s="14"/>
      <c r="D61" s="14"/>
      <c r="E61" s="14"/>
      <c r="F61" s="14"/>
      <c r="G61" s="14"/>
      <c r="H61" s="9"/>
    </row>
    <row r="62" spans="1:19" ht="30" x14ac:dyDescent="0.15">
      <c r="A62" s="2" t="s">
        <v>23</v>
      </c>
      <c r="B62" s="2" t="s">
        <v>15</v>
      </c>
      <c r="H62" s="106"/>
      <c r="I62" s="106"/>
      <c r="J62" s="106"/>
      <c r="K62" s="106"/>
    </row>
    <row r="63" spans="1:19" ht="15" customHeight="1" x14ac:dyDescent="0.2">
      <c r="A63" s="3">
        <v>0</v>
      </c>
      <c r="B63" s="18">
        <v>-0.501</v>
      </c>
      <c r="C63" s="47"/>
      <c r="D63" s="3" t="s">
        <v>32</v>
      </c>
      <c r="E63" s="17">
        <f>AVERAGE(B63:B72)</f>
        <v>-0.56229999999999991</v>
      </c>
      <c r="F63" s="6" t="s">
        <v>86</v>
      </c>
      <c r="H63" s="35"/>
      <c r="I63" s="40"/>
      <c r="J63" s="37"/>
    </row>
    <row r="64" spans="1:19" ht="15" customHeight="1" x14ac:dyDescent="0.2">
      <c r="A64" s="3">
        <v>0</v>
      </c>
      <c r="B64" s="18">
        <v>-0.53500000000000003</v>
      </c>
      <c r="C64" s="47"/>
      <c r="D64" s="4" t="s">
        <v>33</v>
      </c>
      <c r="E64" s="17">
        <f>_xlfn.STDEV.S(B63:B72)</f>
        <v>5.5489838909679859E-2</v>
      </c>
      <c r="F64" s="6" t="s">
        <v>87</v>
      </c>
      <c r="I64" s="40"/>
      <c r="J64" s="37"/>
    </row>
    <row r="65" spans="1:9" ht="15" customHeight="1" x14ac:dyDescent="0.2">
      <c r="A65" s="3">
        <v>0</v>
      </c>
      <c r="B65" s="18">
        <v>-0.59399999999999997</v>
      </c>
      <c r="C65" s="47"/>
      <c r="D65" s="59" t="s">
        <v>93</v>
      </c>
      <c r="E65" s="60">
        <f>(E63-J37)/I37</f>
        <v>-4.4807791514959961E-3</v>
      </c>
      <c r="F65" s="9" t="s">
        <v>81</v>
      </c>
      <c r="G65" s="6" t="s">
        <v>89</v>
      </c>
      <c r="H65" s="36"/>
      <c r="I65" s="41"/>
    </row>
    <row r="66" spans="1:9" ht="15" customHeight="1" x14ac:dyDescent="0.2">
      <c r="A66" s="3">
        <v>0</v>
      </c>
      <c r="B66" s="18">
        <v>-0.54</v>
      </c>
      <c r="C66" s="47"/>
      <c r="D66" s="3" t="s">
        <v>75</v>
      </c>
      <c r="E66" s="17">
        <f>E63+3*E64</f>
        <v>-0.39583048327096032</v>
      </c>
      <c r="F66" s="6" t="s">
        <v>88</v>
      </c>
      <c r="H66" s="35" t="s">
        <v>85</v>
      </c>
      <c r="I66" s="14"/>
    </row>
    <row r="67" spans="1:9" ht="15" customHeight="1" x14ac:dyDescent="0.2">
      <c r="A67" s="3">
        <v>0</v>
      </c>
      <c r="B67" s="18">
        <v>-0.58099999999999996</v>
      </c>
      <c r="C67" s="47"/>
      <c r="D67" s="48"/>
      <c r="E67" s="48"/>
      <c r="F67" s="14"/>
      <c r="G67" s="14"/>
      <c r="H67" s="35"/>
      <c r="I67" s="14"/>
    </row>
    <row r="68" spans="1:9" ht="15" customHeight="1" x14ac:dyDescent="0.2">
      <c r="A68" s="3">
        <v>0</v>
      </c>
      <c r="B68" s="18">
        <v>-0.62</v>
      </c>
      <c r="C68" s="47"/>
      <c r="D68" s="48"/>
      <c r="E68" s="48"/>
      <c r="F68" s="14"/>
      <c r="G68" s="42"/>
    </row>
    <row r="69" spans="1:9" ht="15" customHeight="1" x14ac:dyDescent="0.2">
      <c r="A69" s="3">
        <v>0</v>
      </c>
      <c r="B69" s="18">
        <v>-0.45800000000000002</v>
      </c>
      <c r="C69" s="14"/>
      <c r="D69" s="14"/>
      <c r="E69" s="14"/>
      <c r="F69" s="14"/>
      <c r="G69" s="14"/>
    </row>
    <row r="70" spans="1:9" ht="15" customHeight="1" x14ac:dyDescent="0.2">
      <c r="A70" s="3">
        <v>0</v>
      </c>
      <c r="B70" s="18">
        <v>-0.57199999999999995</v>
      </c>
      <c r="C70" s="14"/>
      <c r="D70" s="14"/>
      <c r="E70" s="14"/>
      <c r="F70" s="14"/>
      <c r="G70" s="14"/>
    </row>
    <row r="71" spans="1:9" ht="15" customHeight="1" x14ac:dyDescent="0.2">
      <c r="A71" s="3">
        <v>0</v>
      </c>
      <c r="B71" s="18">
        <v>-0.57699999999999996</v>
      </c>
      <c r="C71" s="14"/>
      <c r="D71" s="14"/>
      <c r="E71" s="14"/>
      <c r="F71" s="14"/>
      <c r="G71" s="14"/>
    </row>
    <row r="72" spans="1:9" ht="15" customHeight="1" x14ac:dyDescent="0.2">
      <c r="A72" s="3">
        <v>0</v>
      </c>
      <c r="B72" s="18">
        <v>-0.64500000000000002</v>
      </c>
      <c r="C72" s="14"/>
      <c r="D72" s="14"/>
      <c r="E72" s="14"/>
      <c r="F72" s="14"/>
      <c r="G72" s="14"/>
    </row>
    <row r="73" spans="1:9" ht="15" customHeight="1" x14ac:dyDescent="0.2">
      <c r="A73" s="9"/>
      <c r="B73" s="14"/>
      <c r="C73" s="14"/>
      <c r="D73" s="14"/>
      <c r="E73" s="14"/>
      <c r="F73" s="14"/>
      <c r="G73" s="14"/>
    </row>
    <row r="74" spans="1:9" ht="15" customHeight="1" x14ac:dyDescent="0.2">
      <c r="A74" s="9" t="s">
        <v>34</v>
      </c>
      <c r="B74" s="14"/>
      <c r="C74" s="14"/>
      <c r="D74" s="14"/>
      <c r="E74" s="14"/>
      <c r="F74" s="14"/>
      <c r="G74" s="14"/>
    </row>
    <row r="75" spans="1:9" ht="15" customHeight="1" x14ac:dyDescent="0.2">
      <c r="A75" s="3" t="s">
        <v>26</v>
      </c>
      <c r="B75" s="31">
        <f>J37</f>
        <v>1.3954702310676055</v>
      </c>
      <c r="C75" s="58" t="s">
        <v>90</v>
      </c>
      <c r="E75" s="14"/>
      <c r="F75" s="14"/>
      <c r="G75" s="14"/>
    </row>
    <row r="76" spans="1:9" ht="15" customHeight="1" x14ac:dyDescent="0.2">
      <c r="A76" s="4" t="s">
        <v>35</v>
      </c>
      <c r="B76" s="31">
        <f>J39</f>
        <v>4.9832238856246169</v>
      </c>
      <c r="C76" s="58" t="s">
        <v>91</v>
      </c>
      <c r="E76" s="14"/>
      <c r="F76" s="14"/>
      <c r="G76" s="14"/>
    </row>
    <row r="77" spans="1:9" ht="15" customHeight="1" x14ac:dyDescent="0.2">
      <c r="A77" s="3" t="s">
        <v>75</v>
      </c>
      <c r="B77" s="17">
        <f>B75+3*B76</f>
        <v>16.345141887941455</v>
      </c>
      <c r="C77" s="58"/>
      <c r="E77" s="14"/>
      <c r="F77" s="14"/>
      <c r="G77" s="14"/>
    </row>
    <row r="78" spans="1:9" ht="15" customHeight="1" x14ac:dyDescent="0.2">
      <c r="A78" s="59" t="s">
        <v>93</v>
      </c>
      <c r="B78" s="61">
        <f>(B77-J37)/I37</f>
        <v>3.4215545838237743E-2</v>
      </c>
      <c r="C78" s="62" t="s">
        <v>81</v>
      </c>
      <c r="D78" s="14"/>
      <c r="E78" s="14"/>
      <c r="F78" s="14"/>
      <c r="G78" s="14"/>
    </row>
    <row r="79" spans="1:9" ht="15" customHeight="1" x14ac:dyDescent="0.2">
      <c r="A79" s="14"/>
      <c r="B79" s="14"/>
      <c r="C79" s="14"/>
      <c r="D79" s="14"/>
      <c r="E79" s="14"/>
      <c r="F79" s="14"/>
      <c r="G79" s="14"/>
    </row>
    <row r="80" spans="1:9" ht="15" customHeight="1" x14ac:dyDescent="0.2">
      <c r="A80" s="11" t="s">
        <v>36</v>
      </c>
      <c r="B80" s="12"/>
      <c r="C80" s="12"/>
      <c r="D80" s="12"/>
      <c r="E80" s="12"/>
      <c r="F80" s="13"/>
      <c r="G80" s="14"/>
    </row>
    <row r="81" spans="1:24" ht="213.5" customHeight="1" x14ac:dyDescent="0.2">
      <c r="A81" s="90" t="s">
        <v>111</v>
      </c>
      <c r="B81" s="91"/>
      <c r="C81" s="91"/>
      <c r="D81" s="91"/>
      <c r="E81" s="91"/>
      <c r="F81" s="92"/>
      <c r="H81" s="93"/>
      <c r="I81" s="93"/>
      <c r="J81" s="93"/>
      <c r="K81" s="93"/>
      <c r="L81" s="93"/>
      <c r="M81" s="93"/>
    </row>
    <row r="82" spans="1:24" ht="15" customHeight="1" x14ac:dyDescent="0.2">
      <c r="A82" s="14"/>
      <c r="B82" s="14"/>
      <c r="C82" s="14"/>
      <c r="D82" s="14"/>
      <c r="E82" s="14"/>
      <c r="F82" s="14"/>
      <c r="G82" s="14"/>
    </row>
    <row r="83" spans="1:24" ht="15" customHeight="1" x14ac:dyDescent="0.2">
      <c r="A83" s="9" t="s">
        <v>37</v>
      </c>
      <c r="B83" s="14"/>
      <c r="C83" s="14"/>
      <c r="D83" s="14"/>
      <c r="E83" s="14"/>
      <c r="F83" s="14"/>
      <c r="G83" s="14"/>
      <c r="I83" s="3" t="s">
        <v>80</v>
      </c>
      <c r="J83" s="3">
        <f>(0.2938*10^3)/(0.1)</f>
        <v>2938</v>
      </c>
      <c r="K83" s="6" t="s">
        <v>81</v>
      </c>
      <c r="L83" s="57">
        <f>24.49</f>
        <v>24.49</v>
      </c>
      <c r="M83" s="6" t="s">
        <v>82</v>
      </c>
    </row>
    <row r="84" spans="1:24" ht="30" x14ac:dyDescent="0.15">
      <c r="A84" s="2" t="s">
        <v>23</v>
      </c>
      <c r="B84" s="2" t="s">
        <v>44</v>
      </c>
      <c r="C84" s="2" t="s">
        <v>45</v>
      </c>
      <c r="D84" s="3" t="s">
        <v>3</v>
      </c>
      <c r="E84" s="2" t="s">
        <v>38</v>
      </c>
      <c r="F84" s="3" t="s">
        <v>15</v>
      </c>
      <c r="G84" s="3" t="s">
        <v>94</v>
      </c>
      <c r="I84" s="2" t="s">
        <v>92</v>
      </c>
      <c r="J84" s="3">
        <f>E38</f>
        <v>434.76100000000002</v>
      </c>
      <c r="Q84" s="2" t="s">
        <v>97</v>
      </c>
      <c r="R84" s="6" t="s">
        <v>96</v>
      </c>
      <c r="S84" s="63" t="s">
        <v>95</v>
      </c>
      <c r="U84" s="104" t="s">
        <v>61</v>
      </c>
      <c r="V84" s="104"/>
      <c r="W84" s="104"/>
      <c r="X84" s="104"/>
    </row>
    <row r="85" spans="1:24" ht="15" customHeight="1" x14ac:dyDescent="0.2">
      <c r="A85" s="65">
        <v>1</v>
      </c>
      <c r="B85" s="65">
        <f>$J$83*C85/D85</f>
        <v>117.52</v>
      </c>
      <c r="C85" s="66">
        <v>2</v>
      </c>
      <c r="D85" s="66">
        <v>50</v>
      </c>
      <c r="E85" s="67">
        <f>$L$83*C85/D85</f>
        <v>0.97959999999999992</v>
      </c>
      <c r="F85" s="65">
        <v>380.14699999999999</v>
      </c>
      <c r="G85" s="68">
        <f>$J$84/F85 -1</f>
        <v>0.14366547677608943</v>
      </c>
      <c r="I85" s="6" t="s">
        <v>100</v>
      </c>
      <c r="Q85" s="67">
        <v>0.97959999999999992</v>
      </c>
      <c r="R85" s="82">
        <f>AVERAGE(F85,F94)</f>
        <v>401.459</v>
      </c>
      <c r="S85" s="82">
        <f>AVERAGE(G85,G94)</f>
        <v>8.6012992000520483E-2</v>
      </c>
      <c r="U85" s="35" t="s">
        <v>62</v>
      </c>
      <c r="V85" s="37" cm="1">
        <f t="array" ref="V85:W89">LINEST(S85:S88,Q85:Q88,TRUE,TRUE)</f>
        <v>0.15016003766433186</v>
      </c>
      <c r="W85" s="37">
        <v>-4.1869611111622795E-2</v>
      </c>
      <c r="X85" s="6" t="s">
        <v>67</v>
      </c>
    </row>
    <row r="86" spans="1:24" ht="15" customHeight="1" x14ac:dyDescent="0.2">
      <c r="A86" s="69">
        <v>1</v>
      </c>
      <c r="B86" s="69">
        <f>$J$83*C86/D86</f>
        <v>235.04</v>
      </c>
      <c r="C86" s="70">
        <v>4</v>
      </c>
      <c r="D86" s="70">
        <v>50</v>
      </c>
      <c r="E86" s="71">
        <f>$L$83*C86/D86</f>
        <v>1.9591999999999998</v>
      </c>
      <c r="F86" s="69">
        <v>319.11900000000003</v>
      </c>
      <c r="G86" s="72">
        <f t="shared" ref="G86:G94" si="6">$J$84/F86 -1</f>
        <v>0.36237892447644926</v>
      </c>
      <c r="I86" s="6" t="s">
        <v>99</v>
      </c>
      <c r="Q86" s="71">
        <v>1.9591999999999998</v>
      </c>
      <c r="R86" s="83">
        <f>AVERAGE(F86,F93)</f>
        <v>343.08150000000001</v>
      </c>
      <c r="S86" s="83">
        <f>AVERAGE(G86,G93)</f>
        <v>0.27343589590830242</v>
      </c>
      <c r="U86" s="35" t="s">
        <v>63</v>
      </c>
      <c r="V86" s="37">
        <v>1.187184166125148E-2</v>
      </c>
      <c r="W86" s="37">
        <v>3.1849124886331508E-2</v>
      </c>
      <c r="X86" s="6" t="s">
        <v>68</v>
      </c>
    </row>
    <row r="87" spans="1:24" ht="15" customHeight="1" x14ac:dyDescent="0.2">
      <c r="A87" s="23">
        <v>1</v>
      </c>
      <c r="B87" s="23">
        <f t="shared" ref="B85:B94" si="7">$J$83*C87/D87</f>
        <v>352.56</v>
      </c>
      <c r="C87" s="26">
        <v>6</v>
      </c>
      <c r="D87" s="26">
        <v>50</v>
      </c>
      <c r="E87" s="25">
        <f>$L$83*C87/D87</f>
        <v>2.9388000000000001</v>
      </c>
      <c r="F87" s="23">
        <v>302.91500000000002</v>
      </c>
      <c r="G87" s="73">
        <f t="shared" si="6"/>
        <v>0.43525741544657737</v>
      </c>
      <c r="I87" s="6" t="s">
        <v>98</v>
      </c>
      <c r="Q87" s="25">
        <v>2.9388000000000001</v>
      </c>
      <c r="R87" s="84">
        <f>AVERAGE(F87,F92)</f>
        <v>307.35050000000001</v>
      </c>
      <c r="S87" s="84">
        <f>AVERAGE(G87,G92)</f>
        <v>0.41483929447189194</v>
      </c>
      <c r="U87" s="36" t="s">
        <v>64</v>
      </c>
      <c r="V87" s="33">
        <v>0.98765298907856358</v>
      </c>
      <c r="W87" s="33">
        <v>2.600470157522982E-2</v>
      </c>
      <c r="X87" s="6" t="s">
        <v>69</v>
      </c>
    </row>
    <row r="88" spans="1:24" ht="15" customHeight="1" x14ac:dyDescent="0.2">
      <c r="A88" s="74">
        <v>1</v>
      </c>
      <c r="B88" s="74">
        <f t="shared" si="7"/>
        <v>470.08</v>
      </c>
      <c r="C88" s="75">
        <v>8</v>
      </c>
      <c r="D88" s="75">
        <v>50</v>
      </c>
      <c r="E88" s="76">
        <f>$L$83*C88/D88</f>
        <v>3.9183999999999997</v>
      </c>
      <c r="F88" s="74">
        <v>284.21100000000001</v>
      </c>
      <c r="G88" s="77">
        <f t="shared" si="6"/>
        <v>0.52971208010949611</v>
      </c>
      <c r="Q88" s="76">
        <v>3.9183999999999997</v>
      </c>
      <c r="R88" s="85">
        <f>AVERAGE(F88,F91)</f>
        <v>284.30600000000004</v>
      </c>
      <c r="S88" s="85">
        <f>AVERAGE(G88,G91)</f>
        <v>0.52920110213258886</v>
      </c>
      <c r="U88" s="35" t="s">
        <v>65</v>
      </c>
      <c r="V88" s="33">
        <v>159.98252457424104</v>
      </c>
      <c r="W88" s="33">
        <v>2</v>
      </c>
      <c r="X88" s="6" t="s">
        <v>70</v>
      </c>
    </row>
    <row r="89" spans="1:24" ht="15" customHeight="1" x14ac:dyDescent="0.2">
      <c r="A89" s="78">
        <v>1</v>
      </c>
      <c r="B89" s="78">
        <f t="shared" si="7"/>
        <v>587.6</v>
      </c>
      <c r="C89" s="79">
        <v>10</v>
      </c>
      <c r="D89" s="79">
        <v>50</v>
      </c>
      <c r="E89" s="80">
        <f>$L$83*C89/D89</f>
        <v>4.8979999999999997</v>
      </c>
      <c r="F89" s="78">
        <v>283.34300000000002</v>
      </c>
      <c r="G89" s="81">
        <f t="shared" si="6"/>
        <v>0.53439823817775634</v>
      </c>
      <c r="I89" s="6" t="s">
        <v>76</v>
      </c>
      <c r="Q89" s="80">
        <v>4.8979999999999997</v>
      </c>
      <c r="R89" s="86">
        <f>AVERAGE(F89,F90)</f>
        <v>284.755</v>
      </c>
      <c r="S89" s="86">
        <f>AVERAGE(G89,G90)</f>
        <v>0.52682723833393452</v>
      </c>
      <c r="U89" s="35" t="s">
        <v>66</v>
      </c>
      <c r="V89" s="33">
        <v>0.1081873029820568</v>
      </c>
      <c r="W89" s="33">
        <v>1.3524890080335206E-3</v>
      </c>
      <c r="X89" s="6" t="s">
        <v>71</v>
      </c>
    </row>
    <row r="90" spans="1:24" ht="15" customHeight="1" x14ac:dyDescent="0.2">
      <c r="A90" s="78">
        <v>1</v>
      </c>
      <c r="B90" s="78">
        <f t="shared" si="7"/>
        <v>587.6</v>
      </c>
      <c r="C90" s="79">
        <v>10</v>
      </c>
      <c r="D90" s="79">
        <v>50</v>
      </c>
      <c r="E90" s="80">
        <f>$L$83*C90/D90</f>
        <v>4.8979999999999997</v>
      </c>
      <c r="F90" s="78">
        <v>286.16699999999997</v>
      </c>
      <c r="G90" s="81">
        <f t="shared" si="6"/>
        <v>0.51925623849011271</v>
      </c>
      <c r="I90" s="6" t="s">
        <v>77</v>
      </c>
      <c r="R90" s="64"/>
      <c r="S90" s="64"/>
    </row>
    <row r="91" spans="1:24" ht="15" customHeight="1" x14ac:dyDescent="0.2">
      <c r="A91" s="74">
        <v>1</v>
      </c>
      <c r="B91" s="74">
        <f t="shared" si="7"/>
        <v>470.08</v>
      </c>
      <c r="C91" s="75">
        <v>8</v>
      </c>
      <c r="D91" s="75">
        <v>50</v>
      </c>
      <c r="E91" s="76">
        <f>$L$83*C91/D91</f>
        <v>3.9183999999999997</v>
      </c>
      <c r="F91" s="74">
        <v>284.40100000000001</v>
      </c>
      <c r="G91" s="77">
        <f t="shared" si="6"/>
        <v>0.52869012415568162</v>
      </c>
      <c r="U91" s="44" t="s">
        <v>72</v>
      </c>
      <c r="V91" s="43">
        <f>AVERAGE(R86:R90)</f>
        <v>304.87324999999998</v>
      </c>
    </row>
    <row r="92" spans="1:24" ht="15" customHeight="1" x14ac:dyDescent="0.2">
      <c r="A92" s="23">
        <v>1</v>
      </c>
      <c r="B92" s="23">
        <f t="shared" si="7"/>
        <v>352.56</v>
      </c>
      <c r="C92" s="26">
        <v>6</v>
      </c>
      <c r="D92" s="26">
        <v>50</v>
      </c>
      <c r="E92" s="25">
        <f>$L$83*C92/D92</f>
        <v>2.9388000000000001</v>
      </c>
      <c r="F92" s="23">
        <v>311.786</v>
      </c>
      <c r="G92" s="73">
        <f t="shared" si="6"/>
        <v>0.39442117349720651</v>
      </c>
      <c r="I92" s="6" t="s">
        <v>78</v>
      </c>
      <c r="U92" s="44" t="s">
        <v>73</v>
      </c>
      <c r="V92" s="45">
        <f>VARPA(Q86:Q90)*R97</f>
        <v>0</v>
      </c>
    </row>
    <row r="93" spans="1:24" ht="15" customHeight="1" x14ac:dyDescent="0.2">
      <c r="A93" s="69">
        <v>1</v>
      </c>
      <c r="B93" s="69">
        <f t="shared" si="7"/>
        <v>235.04</v>
      </c>
      <c r="C93" s="70">
        <v>4</v>
      </c>
      <c r="D93" s="70">
        <v>50</v>
      </c>
      <c r="E93" s="71">
        <f>$L$83*C93/D93</f>
        <v>1.9591999999999998</v>
      </c>
      <c r="F93" s="69">
        <v>367.04399999999998</v>
      </c>
      <c r="G93" s="72">
        <f t="shared" si="6"/>
        <v>0.18449286734015558</v>
      </c>
      <c r="I93" s="6" t="s">
        <v>84</v>
      </c>
      <c r="U93" s="44" t="s">
        <v>74</v>
      </c>
      <c r="V93" s="46">
        <f>_xlfn.T.INV.2T(0.05,W88)</f>
        <v>4.3026527297494637</v>
      </c>
    </row>
    <row r="94" spans="1:24" ht="15" customHeight="1" x14ac:dyDescent="0.2">
      <c r="A94" s="65">
        <v>1</v>
      </c>
      <c r="B94" s="65">
        <f>$J$83*C94/D94</f>
        <v>117.52</v>
      </c>
      <c r="C94" s="66">
        <v>2</v>
      </c>
      <c r="D94" s="66">
        <v>50</v>
      </c>
      <c r="E94" s="67">
        <f>$L$83*C94/D94</f>
        <v>0.97959999999999992</v>
      </c>
      <c r="F94" s="65">
        <v>422.77100000000002</v>
      </c>
      <c r="G94" s="68">
        <f t="shared" si="6"/>
        <v>2.8360507224951537E-2</v>
      </c>
    </row>
    <row r="95" spans="1:24" ht="15" customHeight="1" x14ac:dyDescent="0.2">
      <c r="A95" s="9"/>
      <c r="B95" s="14"/>
      <c r="C95" s="14"/>
      <c r="D95" s="14"/>
      <c r="E95" s="14"/>
      <c r="F95" s="14"/>
      <c r="G95" s="14"/>
    </row>
    <row r="96" spans="1:24" ht="15" customHeight="1" x14ac:dyDescent="0.2">
      <c r="A96" s="11" t="s">
        <v>39</v>
      </c>
      <c r="B96" s="12"/>
      <c r="C96" s="12"/>
      <c r="D96" s="12"/>
      <c r="E96" s="12"/>
      <c r="F96" s="13"/>
      <c r="G96" s="14"/>
      <c r="H96" s="11" t="s">
        <v>40</v>
      </c>
      <c r="I96" s="12"/>
      <c r="J96" s="12"/>
      <c r="K96" s="12"/>
      <c r="L96" s="12"/>
      <c r="M96" s="13"/>
    </row>
    <row r="97" spans="1:17" ht="300" customHeight="1" x14ac:dyDescent="0.2">
      <c r="A97" s="94"/>
      <c r="B97" s="95"/>
      <c r="C97" s="95"/>
      <c r="D97" s="95"/>
      <c r="E97" s="95"/>
      <c r="F97" s="96"/>
      <c r="H97" s="94"/>
      <c r="I97" s="95"/>
      <c r="J97" s="95"/>
      <c r="K97" s="95"/>
      <c r="L97" s="95"/>
      <c r="M97" s="96"/>
      <c r="O97" s="103" t="s">
        <v>110</v>
      </c>
      <c r="P97" s="103"/>
      <c r="Q97" s="103"/>
    </row>
    <row r="98" spans="1:17" ht="15" customHeight="1" x14ac:dyDescent="0.2">
      <c r="A98" s="9"/>
      <c r="B98" s="14"/>
      <c r="C98" s="14"/>
      <c r="D98" s="14"/>
      <c r="E98" s="14"/>
      <c r="F98" s="14"/>
      <c r="G98" s="14"/>
      <c r="H98" s="3" t="s">
        <v>25</v>
      </c>
      <c r="I98" s="97" t="s">
        <v>112</v>
      </c>
      <c r="J98" s="97"/>
      <c r="K98" s="59" t="s">
        <v>103</v>
      </c>
      <c r="L98" s="98" t="s">
        <v>114</v>
      </c>
      <c r="M98" s="98"/>
      <c r="O98" s="105" t="s">
        <v>101</v>
      </c>
      <c r="P98" s="105"/>
      <c r="Q98" s="105"/>
    </row>
    <row r="99" spans="1:17" ht="15" customHeight="1" x14ac:dyDescent="0.2">
      <c r="A99" s="9"/>
      <c r="B99" s="14"/>
      <c r="C99" s="14"/>
      <c r="D99" s="14"/>
      <c r="E99" s="14"/>
      <c r="F99" s="14"/>
      <c r="G99" s="14"/>
      <c r="H99" s="3" t="s">
        <v>26</v>
      </c>
      <c r="I99" s="97" t="s">
        <v>113</v>
      </c>
      <c r="J99" s="97"/>
      <c r="K99" s="3" t="s">
        <v>6</v>
      </c>
      <c r="L99" s="97">
        <v>4</v>
      </c>
      <c r="M99" s="97"/>
      <c r="O99" s="105"/>
      <c r="P99" s="105"/>
      <c r="Q99" s="105"/>
    </row>
    <row r="100" spans="1:17" ht="15" customHeight="1" x14ac:dyDescent="0.2">
      <c r="A100" s="9"/>
      <c r="B100" s="14"/>
      <c r="C100" s="14"/>
      <c r="D100" s="14"/>
      <c r="E100" s="14"/>
      <c r="F100" s="14"/>
      <c r="G100" s="14"/>
      <c r="O100" s="105"/>
      <c r="P100" s="105"/>
      <c r="Q100" s="105"/>
    </row>
    <row r="101" spans="1:17" ht="15" customHeight="1" x14ac:dyDescent="0.15">
      <c r="A101" s="1" t="s">
        <v>46</v>
      </c>
      <c r="B101" s="14"/>
      <c r="C101" s="14"/>
      <c r="D101" s="14"/>
      <c r="E101" s="14"/>
      <c r="F101" s="14"/>
      <c r="G101" s="14"/>
      <c r="O101" s="105"/>
      <c r="P101" s="105"/>
      <c r="Q101" s="105"/>
    </row>
    <row r="102" spans="1:17" ht="300" customHeight="1" x14ac:dyDescent="0.2">
      <c r="A102" s="89" t="s">
        <v>104</v>
      </c>
      <c r="B102" s="89"/>
      <c r="C102" s="89"/>
      <c r="D102" s="89"/>
      <c r="E102" s="89"/>
      <c r="F102" s="89"/>
    </row>
    <row r="103" spans="1:17" ht="15" customHeight="1" x14ac:dyDescent="0.2">
      <c r="A103" s="14"/>
      <c r="B103" s="14"/>
      <c r="C103" s="14"/>
      <c r="D103" s="14"/>
      <c r="E103" s="14"/>
      <c r="F103" s="14"/>
      <c r="G103" s="14"/>
    </row>
    <row r="104" spans="1:17" ht="15" customHeight="1" x14ac:dyDescent="0.2">
      <c r="A104" s="14"/>
      <c r="B104" s="14"/>
      <c r="C104" s="14"/>
      <c r="D104" s="14"/>
      <c r="E104" s="14"/>
      <c r="F104" s="14"/>
      <c r="G104" s="14"/>
    </row>
    <row r="105" spans="1:17" ht="15" customHeight="1" x14ac:dyDescent="0.2">
      <c r="A105" s="14"/>
      <c r="B105" s="14"/>
      <c r="C105" s="14"/>
      <c r="D105" s="14"/>
      <c r="E105" s="14"/>
      <c r="F105" s="14"/>
      <c r="G105" s="14"/>
    </row>
    <row r="106" spans="1:17" ht="15" customHeight="1" x14ac:dyDescent="0.2">
      <c r="A106" s="14"/>
      <c r="B106" s="14"/>
      <c r="C106" s="14"/>
      <c r="D106" s="14"/>
      <c r="E106" s="14"/>
      <c r="F106" s="14"/>
      <c r="G106" s="14"/>
    </row>
  </sheetData>
  <mergeCells count="29">
    <mergeCell ref="O97:Q97"/>
    <mergeCell ref="U84:X84"/>
    <mergeCell ref="O98:Q101"/>
    <mergeCell ref="H25:M25"/>
    <mergeCell ref="H36:K36"/>
    <mergeCell ref="H62:K62"/>
    <mergeCell ref="I99:J99"/>
    <mergeCell ref="L99:M99"/>
    <mergeCell ref="A58:F58"/>
    <mergeCell ref="H58:M58"/>
    <mergeCell ref="B48:C48"/>
    <mergeCell ref="A52:F52"/>
    <mergeCell ref="A6:F6"/>
    <mergeCell ref="A28:F28"/>
    <mergeCell ref="A34:F34"/>
    <mergeCell ref="A25:F25"/>
    <mergeCell ref="A47:F47"/>
    <mergeCell ref="A9:F9"/>
    <mergeCell ref="H47:M47"/>
    <mergeCell ref="B49:C49"/>
    <mergeCell ref="E48:F48"/>
    <mergeCell ref="E49:F49"/>
    <mergeCell ref="A102:F102"/>
    <mergeCell ref="A81:F81"/>
    <mergeCell ref="H81:M81"/>
    <mergeCell ref="A97:F97"/>
    <mergeCell ref="H97:M97"/>
    <mergeCell ref="I98:J98"/>
    <mergeCell ref="L98:M9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Pràctica P</vt:lpstr>
      <vt:lpstr>Càlculs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IGNASI</dc:creator>
  <cp:lastModifiedBy>Domènec Huerta Estradé</cp:lastModifiedBy>
  <cp:lastPrinted>2021-04-14T15:27:52Z</cp:lastPrinted>
  <dcterms:created xsi:type="dcterms:W3CDTF">2021-03-22T14:48:22Z</dcterms:created>
  <dcterms:modified xsi:type="dcterms:W3CDTF">2025-05-16T09:38:53Z</dcterms:modified>
</cp:coreProperties>
</file>