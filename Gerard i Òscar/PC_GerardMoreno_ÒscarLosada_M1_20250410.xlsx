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166925"/>
  <mc:AlternateContent xmlns:mc="http://schemas.openxmlformats.org/markup-compatibility/2006">
    <mc:Choice Requires="x15">
      <x15ac:absPath xmlns:x15ac="http://schemas.microsoft.com/office/spreadsheetml/2010/11/ac" url="/Users/sergio/Desktop/University/5nto/LACE/LACE/Gerard i Òscar/"/>
    </mc:Choice>
  </mc:AlternateContent>
  <xr:revisionPtr revIDLastSave="0" documentId="13_ncr:1_{D210EFE3-A78D-7C4B-8992-ED2FF8DC0A7F}" xr6:coauthVersionLast="47" xr6:coauthVersionMax="47" xr10:uidLastSave="{00000000-0000-0000-0000-000000000000}"/>
  <bookViews>
    <workbookView xWindow="1820" yWindow="1820" windowWidth="10000" windowHeight="6000" activeTab="1" xr2:uid="{00000000-000D-0000-FFFF-FFFF00000000}"/>
  </bookViews>
  <sheets>
    <sheet name="C1" sheetId="1" r:id="rId1"/>
    <sheet name="C2" sheetId="4" r:id="rId2"/>
    <sheet name="Càlculs" sheetId="3" r:id="rId3"/>
  </sheets>
  <definedNames>
    <definedName name="_xlnm.Print_Area" localSheetId="0">'C1'!$A$1:$I$61</definedName>
    <definedName name="_xlnm.Print_Area" localSheetId="1">'C2'!$A$1:$I$4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9" i="4" l="1"/>
  <c r="E79" i="4"/>
  <c r="Q105" i="4"/>
  <c r="M102" i="4" a="1"/>
  <c r="M102" i="4" s="1"/>
  <c r="O102" i="4" a="1"/>
  <c r="O102" i="4" s="1"/>
  <c r="S111" i="4"/>
  <c r="L94" i="4"/>
  <c r="F24" i="4"/>
  <c r="L90" i="1"/>
  <c r="E70" i="1"/>
  <c r="O109" i="4" l="1"/>
  <c r="Q104" i="4" l="1"/>
  <c r="Q103" i="4"/>
  <c r="G79" i="4"/>
  <c r="F79" i="4"/>
  <c r="H79" i="4" l="1"/>
  <c r="E42" i="1" l="1"/>
  <c r="K75" i="1" s="1"/>
  <c r="E45" i="1"/>
  <c r="K78" i="1" s="1"/>
  <c r="E41" i="1"/>
  <c r="G33" i="1"/>
  <c r="F30" i="1"/>
  <c r="D36" i="4" s="1"/>
  <c r="R46" i="4"/>
  <c r="H46" i="4"/>
  <c r="D37" i="4"/>
  <c r="O30" i="4"/>
  <c r="O32" i="4" s="1"/>
  <c r="O33" i="4" s="1"/>
  <c r="O34" i="4" s="1"/>
  <c r="I31" i="4" s="1"/>
  <c r="E44" i="1" l="1"/>
  <c r="K77" i="1" s="1"/>
  <c r="K74" i="1"/>
  <c r="E43" i="1"/>
  <c r="C33" i="4"/>
  <c r="F33" i="4" s="1"/>
  <c r="C32" i="4"/>
  <c r="F32" i="4" s="1"/>
  <c r="C34" i="4"/>
  <c r="F34" i="4" s="1"/>
  <c r="C30" i="4"/>
  <c r="C31" i="4"/>
  <c r="F31" i="4" s="1"/>
  <c r="I30" i="4"/>
  <c r="I34" i="4"/>
  <c r="I33" i="4"/>
  <c r="I32" i="4"/>
  <c r="R40" i="4" l="1" a="1"/>
  <c r="R45" i="4"/>
  <c r="R47" i="4" s="1"/>
  <c r="F30" i="4"/>
  <c r="G51" i="4" s="1" a="1"/>
  <c r="G51" i="4" s="1"/>
  <c r="J46" i="4" s="1"/>
  <c r="H45" i="4"/>
  <c r="H41" i="1" a="1"/>
  <c r="K76" i="1"/>
  <c r="L91" i="1" s="1"/>
  <c r="M62" i="1"/>
  <c r="R40" i="4"/>
  <c r="M59" i="4"/>
  <c r="G67" i="4" s="1"/>
  <c r="H40" i="4" a="1"/>
  <c r="H94" i="4" l="1"/>
  <c r="H48" i="4"/>
  <c r="H41" i="1"/>
  <c r="H93" i="4"/>
  <c r="L92" i="1"/>
  <c r="L93" i="1"/>
  <c r="G91" i="1" s="1"/>
  <c r="I94" i="1" s="1"/>
  <c r="E106" i="1" s="1"/>
  <c r="G88" i="1"/>
  <c r="G94" i="1" s="1"/>
  <c r="D106" i="1" s="1"/>
  <c r="J47" i="4"/>
  <c r="H47" i="4"/>
  <c r="F61" i="4" s="1"/>
  <c r="G61" i="4" s="1"/>
  <c r="H66" i="4" s="1"/>
  <c r="K61" i="4"/>
  <c r="R48" i="4"/>
  <c r="L61" i="4" s="1"/>
  <c r="H67" i="4" s="1"/>
  <c r="H40" i="4"/>
  <c r="H59" i="4" s="1"/>
  <c r="G66" i="4" s="1"/>
  <c r="Q102" i="4" l="1"/>
  <c r="F106" i="1"/>
  <c r="G106" i="1"/>
  <c r="H106" i="1" s="1"/>
  <c r="H95" i="4"/>
  <c r="Q111" i="4" l="1"/>
  <c r="Q109" i="4"/>
  <c r="T102" i="4"/>
  <c r="S109"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<sst xmlns="http://schemas.openxmlformats.org/spreadsheetml/2006/main" count="243" uniqueCount="173">
  <si>
    <t>Grup pràctiques:</t>
  </si>
  <si>
    <t>Alumnes:</t>
  </si>
  <si>
    <t>1. Descripció de la mostra</t>
  </si>
  <si>
    <t>7. Gotes (o volum) emprat al punt (1) de la pràctica:</t>
  </si>
  <si>
    <t>Absorbància</t>
  </si>
  <si>
    <t>Gotes (o volum) afegit al matràs</t>
  </si>
  <si>
    <t>Volum (mL) dissolució de treball de Fe(II)</t>
  </si>
  <si>
    <t>Parella:</t>
  </si>
  <si>
    <t xml:space="preserve">10. Volum teòric de dissolució que s'ha de pipetejar per tenir una </t>
  </si>
  <si>
    <t>11. Volum real pipetejat:</t>
  </si>
  <si>
    <t xml:space="preserve">absorbància a la part central de la recta: </t>
  </si>
  <si>
    <t>12. Absorbància del blanc de la mostra:</t>
  </si>
  <si>
    <t>13. Absorbància mesurada de la mostra:</t>
  </si>
  <si>
    <t>14. Absorbància corregida de la mostra:</t>
  </si>
  <si>
    <t>9. Exemple del càlcul de la concentració d'un patro de Fe(II):</t>
  </si>
  <si>
    <t>Data:</t>
  </si>
  <si>
    <t>Informe pràctica C1</t>
  </si>
  <si>
    <t>Informe pràctica C2</t>
  </si>
  <si>
    <t>Contingut de Fe al comprimit (mg):</t>
  </si>
  <si>
    <t>Concentració mitjana (mg/mL)</t>
  </si>
  <si>
    <t>Desviació estàndard</t>
  </si>
  <si>
    <t>Desviació estàndard relativa (%)</t>
  </si>
  <si>
    <t>Número de parella</t>
  </si>
  <si>
    <t>2. Massa del comprimit (mg):</t>
  </si>
  <si>
    <t xml:space="preserve">3. Massa pesada de sal de Mohr (g): </t>
  </si>
  <si>
    <t>4. Càlcul de la concentració de la dissolució estoc de Fe(II):</t>
  </si>
  <si>
    <t>5. Concentració dissolució treball Fe(II) (mg/mL):</t>
  </si>
  <si>
    <t>8. Ompliu la taula fent servir fórmules a les caselles a on s'hagin de fer càlculs i no afegint només el resultat (clica sobre el 6 per veure exemple i esborra'l)</t>
  </si>
  <si>
    <t>15. Representeu la recta de calibratge:</t>
  </si>
  <si>
    <t>Interval de confiança</t>
  </si>
  <si>
    <t>16. Concentració de Fe(II) interpolat a la recta de calibratge:</t>
  </si>
  <si>
    <t>IMPORTANT: NO S'AVALUARÀ SI EL RESULTAT TROBAT COINCIDEIX AMB L'ESPERAT, SI NO LA CAPACITAT D'INTERPRETAR</t>
  </si>
  <si>
    <t>ELS RESULTATS I SI AQUEST NO COINCIDEIX AMB L'ESPERAT, LA POSSIBLE CAUSA I SOLUCIÓ.</t>
  </si>
  <si>
    <t>Concentració patró de Fe(II) (mg/mL)</t>
  </si>
  <si>
    <t>6. Concentració de Fe(II) a la dissolució del comprimit (g/mL):</t>
  </si>
  <si>
    <t>17. Desviació estàndard de la concentració calculada:</t>
  </si>
  <si>
    <t>Contingut nominal de Fe a la mostra (indicat a l'etiqueta, considereu aquest valor com el valor real):</t>
  </si>
  <si>
    <t>Existeixen diferències significatives entre la precisió dels dos mètodes?</t>
  </si>
  <si>
    <t>(es considera que els diferents resultats son replicats de mostra)</t>
  </si>
  <si>
    <t xml:space="preserve">19. Compara i comenta els valors del contingut de Ferro trobat amb el nominal. </t>
  </si>
  <si>
    <t>20. Omple la taula afegint el vostre resultat i el de la resta de les parelles que han fet la mateixa pràctica:</t>
  </si>
  <si>
    <t>21. Observacions i comentaris dels resultats del punt 20 (valors anòmals, precisió dels resultats...):</t>
  </si>
  <si>
    <t>senyal AASF</t>
  </si>
  <si>
    <t>Concentració (ppm Fe)</t>
  </si>
  <si>
    <t>4. Concentració de Fe en la mostra:</t>
  </si>
  <si>
    <t xml:space="preserve">7. Comenta els resultats del contingut de ferro trobat pels diferents mètodes amb el contingut indicat a l'etiqueta del producte. </t>
  </si>
  <si>
    <t>IMPORTANT: NO S'AVALUARÀ SI EL RESULTAT TROBAT EN Fe COINCIDEIX AMB L'ESPERAT O NO, SI NO LA CAPACITAT D'INTERPRETAR</t>
  </si>
  <si>
    <t>8. Completa la taula següent (afegiu el vostre resultat i el de la resta de les parelles que han fet la mateixa pràctica):</t>
  </si>
  <si>
    <t>10. Compareu la precisió dels dos mètodes (test F)</t>
  </si>
  <si>
    <t>9. Observacions i comentaris dels resultats de la taula anterior (valors anòmals, precisió dels resultats...):</t>
  </si>
  <si>
    <t>11.  Existeixen diferències significatives entre els resultats obtinguts pels dos mètodes diferents? (test comparació de dades aparellades)</t>
  </si>
  <si>
    <t>12. Quins avantatges i inconvenients representa la determinació de ferro mijançant l'us de UV-Vis davant l'AASF?  (laboriositat, rapidesa, material, manipulació, perillositat...)</t>
  </si>
  <si>
    <t>1. Descripció de l'instrument AASF utilizat</t>
  </si>
  <si>
    <t>Concentració (ppm Mn)</t>
  </si>
  <si>
    <t>3. Representeu les rectes de calibratge pel Fe i pel Mn</t>
  </si>
  <si>
    <t>Concentració de Mn en la mostra:</t>
  </si>
  <si>
    <t>6. Contingut de Fe al comprimit (mg) amb el seu interval de confiança:</t>
  </si>
  <si>
    <t>Contingut de Mn al comprimit (mg) amb el seu interval de confiança:</t>
  </si>
  <si>
    <t>5. Desviació estàndard de la concentració calculada (Fe):</t>
  </si>
  <si>
    <t>Desviació estàndard de la concentració calculada (Mn)</t>
  </si>
  <si>
    <t xml:space="preserve">2. Massa pesada de sal de Mn (g): </t>
  </si>
  <si>
    <t>3. Càlcul de la concentració de la dissolució estoc de Mn(II) i dilucions intermèdies:</t>
  </si>
  <si>
    <t>4. Concentració de Mn(II) a la dissolució del comprimit (g/mL):</t>
  </si>
  <si>
    <t>5. Dades obtingudes del calibratge per patró extern</t>
  </si>
  <si>
    <t>Volum agafat patró 10 ppm (mL)</t>
  </si>
  <si>
    <t>%RSD</t>
  </si>
  <si>
    <t>PM(MnSO4)</t>
  </si>
  <si>
    <t>g/mol</t>
  </si>
  <si>
    <t>PA(Mn)</t>
  </si>
  <si>
    <t>MnSO4 pesat</t>
  </si>
  <si>
    <t>mg</t>
  </si>
  <si>
    <t>Mn(II)</t>
  </si>
  <si>
    <t>Fem patrons de 1000, 100 i 10 ppm.</t>
  </si>
  <si>
    <t>Patró 1000 ppm</t>
  </si>
  <si>
    <t>Patró 100 ppm</t>
  </si>
  <si>
    <t>Patró 10 ppm</t>
  </si>
  <si>
    <t>ppm</t>
  </si>
  <si>
    <t>Mostra</t>
  </si>
  <si>
    <t>Concentració</t>
  </si>
  <si>
    <t>MANGANÈS</t>
  </si>
  <si>
    <t>FERRO</t>
  </si>
  <si>
    <t>Concentració treball Fe(II)</t>
  </si>
  <si>
    <t>mg/mL</t>
  </si>
  <si>
    <t>Volum agafat patró treball (mL)</t>
  </si>
  <si>
    <t>y= a + bx</t>
  </si>
  <si>
    <t>b</t>
  </si>
  <si>
    <t>u_b</t>
  </si>
  <si>
    <t>R^2</t>
  </si>
  <si>
    <t>F</t>
  </si>
  <si>
    <t>Ssreg</t>
  </si>
  <si>
    <t>a</t>
  </si>
  <si>
    <t>u_a</t>
  </si>
  <si>
    <t>S_{y/x}</t>
  </si>
  <si>
    <t>dof</t>
  </si>
  <si>
    <t>Ssresid</t>
  </si>
  <si>
    <t>Dades del Ferro</t>
  </si>
  <si>
    <t>Dades del Manganès</t>
  </si>
  <si>
    <t xml:space="preserve">Hem prepart dues mostres diferents per tal d'assegurar, a partir del valor teòric observat </t>
  </si>
  <si>
    <t>en l'etiqueta del compost multivitamínic, que la mesura de la dissolució de la mostra quedés</t>
  </si>
  <si>
    <t>les mostres, s'ha aconseguit!</t>
  </si>
  <si>
    <t>s_0</t>
  </si>
  <si>
    <t>Contingut (mg)</t>
  </si>
  <si>
    <t>Interval conf.</t>
  </si>
  <si>
    <t>Int.confiança (t s_0)</t>
  </si>
  <si>
    <t>n</t>
  </si>
  <si>
    <t>y_{avg}</t>
  </si>
  <si>
    <t>s_{xx}</t>
  </si>
  <si>
    <t>t_{tab}</t>
  </si>
  <si>
    <t>t-Student</t>
  </si>
  <si>
    <t xml:space="preserve"> </t>
  </si>
  <si>
    <t>Compatible amb el valor teòric tenint en compte una vegada la incertesa (interval de confiança).</t>
  </si>
  <si>
    <t>Compatible amb el valor teòric tenint en compte dues vegades la incertesa (interval de confiança).</t>
  </si>
  <si>
    <t>g</t>
  </si>
  <si>
    <t xml:space="preserve">g/mL </t>
  </si>
  <si>
    <t>Experimentalment s'ha comprovat que amb 3 gotes de la dissolució d'acetat ha estat prou.</t>
  </si>
  <si>
    <t>2 mg és el valor de Mn(II) segons l'etiqueta del medicament.</t>
  </si>
  <si>
    <t>Hem de tenir en compte quina és la concentració que dóna la senyal a la part central de la recta (0,0024042 mg/mL),</t>
  </si>
  <si>
    <t>i això implica que l'equivalent volum teòric que cal pipetejar és de:</t>
  </si>
  <si>
    <t>mL</t>
  </si>
  <si>
    <t>(Càlcul posat a la fórmula)</t>
  </si>
  <si>
    <t>M1</t>
  </si>
  <si>
    <t>S_{xx}</t>
  </si>
  <si>
    <t>S_0</t>
  </si>
  <si>
    <t>±</t>
  </si>
  <si>
    <t>mg per comprimit</t>
  </si>
  <si>
    <t>M2</t>
  </si>
  <si>
    <t>M3</t>
  </si>
  <si>
    <t>M4</t>
  </si>
  <si>
    <t>S_{y/x} _ UV-Vis</t>
  </si>
  <si>
    <t>S_{y/x} _ AASF</t>
  </si>
  <si>
    <t>Ambdós tenen n=5 i dof = 3</t>
  </si>
  <si>
    <t>Taula amb informació i valors de la F_{crítica}</t>
  </si>
  <si>
    <t>Així doncs, la F_{crítica}=</t>
  </si>
  <si>
    <t xml:space="preserve">F_{exp} </t>
  </si>
  <si>
    <t>Conc. (mg/mL)</t>
  </si>
  <si>
    <t>s_{xx} mg/mL</t>
  </si>
  <si>
    <t>b mg/mL</t>
  </si>
  <si>
    <t>Dades equips Fe UVVis</t>
  </si>
  <si>
    <t>Dades Fe AASF</t>
  </si>
  <si>
    <t>∆ entre valors</t>
  </si>
  <si>
    <t>∆ Average</t>
  </si>
  <si>
    <t>Std. Dev. ∆</t>
  </si>
  <si>
    <t>t exp</t>
  </si>
  <si>
    <t>t tab</t>
  </si>
  <si>
    <t>1.2 (G2) Matí - 1r torn</t>
  </si>
  <si>
    <t>Gerard Moreno Mas i Òscar Losada Garcia</t>
  </si>
  <si>
    <t>M_01</t>
  </si>
  <si>
    <t>5 mg/comprimit</t>
  </si>
  <si>
    <t>(El valor teòric de l'etiqueta del producte és de 5 mg pel Fe.)</t>
  </si>
  <si>
    <t>18. Contingut de Fe(II) al comprimit (mg) amb el seu interval de confiança</t>
  </si>
  <si>
    <t>El valor teòric segons l'etiqueta és de 5 mg per comprimit i el resultat obtingut mitjançant la interpolació a la recta de calibratge generada utilitzant l'aparell UV-Vis (absorció) ha estat de (5,2 ± 0,2) mg per comprimit. Ambdós valors són compatibles i, per tant, es pot validar que el valor presentat a l'etiqueta és correcte segons el mètode utitzat. Tot i això, però, convindria fer un anàlisi més extens de més mostres. Això es realitza a continuació.</t>
  </si>
  <si>
    <t>g/mL</t>
  </si>
  <si>
    <t>diluït en 250,0 mL</t>
  </si>
  <si>
    <r>
      <rPr>
        <u/>
        <sz val="11"/>
        <color theme="1"/>
        <rFont val="Arial"/>
        <family val="2"/>
      </rPr>
      <t>en mig de l'interval estudiat amb els patrons</t>
    </r>
    <r>
      <rPr>
        <sz val="11"/>
        <color theme="1"/>
        <rFont val="Arial"/>
        <family val="2"/>
      </rPr>
      <t>. Això, com es pot veure pels valors que contenia</t>
    </r>
  </si>
  <si>
    <t>Apliquem test de Dixon (test Q)</t>
  </si>
  <si>
    <t>Q exp</t>
  </si>
  <si>
    <t>Q tab</t>
  </si>
  <si>
    <t>per a 4 observacions</t>
  </si>
  <si>
    <t>(95% nivell de confiança)</t>
  </si>
  <si>
    <t>CÀLCULS DEL TEST COMPARACIÓ DE DADES APARELLADES</t>
  </si>
  <si>
    <r>
      <t>Si comparem els dos mètodes observem que obtenim resultats força similars i ambdós són compatibles amb el valor teòric presentat per l'etiqueta. En la comparació, a més de tenir en compte el resultat i la precisió obtinguts, hem de tenir en compte el cost i facilitat de treball amb les dues tècniques utilitzades. Les màquines espectroscòpiques UV-Vis són força més assequibles i inclús permeten tenir certa portabilitat per a dur a terme l'anàlisi fora del laboratori o a la taula mateix. Contràriament, les màquines necessàries per a dur a terme l'anàlisi atòmica per absorció de flama són més cares i requereixen tot un muntatge complex (font d'acetilè, campana extractora, detectors, bidó de rebuig connectat...) que fan que sigui necessari tenir la màquina estàtica i immòbil al laboratori. També el funcionament de l'operari amb el UV-Vis és més directe, fent mesures ràpidament amb cuvetes que són assequibles, mentre que el de l'anàlisi atòmica amb flama és lleugerament més lent i requereix de m</t>
    </r>
    <r>
      <rPr>
        <sz val="11"/>
        <rFont val="Arial"/>
        <family val="2"/>
      </rPr>
      <t>és cura a l'hora d'operar. També caldria afegir la diferència de funcionament de les dues tècniques. La AASF detecta la presència de tot el ferro atòmic present, independentment del seu estat d'oxidació; mentre que la tècnica amb l'espectrofotòmetre UV-Vis només detectarà el complex format amb Fe(II), i no tot el ferro present. Per tant, si haguéssim d'escollir un mètode pel seu anàlisi rutinari, després d'haver fet servir les dues tècniques, agafaríem UV-Vis.</t>
    </r>
  </si>
  <si>
    <r>
      <t xml:space="preserve">Com Q_{exp}&lt;Q_{tab}, </t>
    </r>
    <r>
      <rPr>
        <u/>
        <sz val="11"/>
        <color theme="1"/>
        <rFont val="Arial"/>
        <family val="2"/>
      </rPr>
      <t>no descartem cap dada</t>
    </r>
    <r>
      <rPr>
        <sz val="11"/>
        <color theme="1"/>
        <rFont val="Arial"/>
        <family val="2"/>
      </rPr>
      <t>.</t>
    </r>
  </si>
  <si>
    <r>
      <t>Com la F experimental és força menor a la F crítica podem afiramar amb un 95% de confiança</t>
    </r>
    <r>
      <rPr>
        <sz val="11"/>
        <rFont val="Arial"/>
        <family val="2"/>
      </rPr>
      <t xml:space="preserve"> que no hi ha diferències significatives entre la presició dels dos mètodes. Acceptem la hipòtesi d'igualtat de variànces.</t>
    </r>
  </si>
  <si>
    <r>
      <t xml:space="preserve">Com t_{exp}&gt;t_{tab}, </t>
    </r>
    <r>
      <rPr>
        <b/>
        <u/>
        <sz val="11"/>
        <color theme="1"/>
        <rFont val="Arial"/>
        <family val="2"/>
      </rPr>
      <t>les dades NO són comparables.</t>
    </r>
  </si>
  <si>
    <r>
      <t xml:space="preserve">Comprimit multivitamínic (Multicentrum) de la marca americana Centrum, amb número de lot </t>
    </r>
    <r>
      <rPr>
        <b/>
        <sz val="11"/>
        <color theme="1"/>
        <rFont val="Arial"/>
        <family val="2"/>
      </rPr>
      <t>V57K</t>
    </r>
    <r>
      <rPr>
        <sz val="11"/>
        <color theme="1"/>
        <rFont val="Arial"/>
        <family val="2"/>
      </rPr>
      <t>. (Convé indicar que el nombre de lot del pot d'on s'ha agafat el comprimit multivitamínic era V57K, que era un nombre de lot diferent al del cartró que contenia les dades de quantitats de Fe i Mn)</t>
    </r>
  </si>
  <si>
    <t xml:space="preserve">El nostre resultat inclou el resultat esperant segons l'etiqueta tenint en compte l'interval de confiança. Per tant, verifiquem la dada de mg de ferro que proporciona l'empresa. Pel que fa a la comparativa amb diferents grups, la concentració mitjana coincideix amb el valor esperat (etiquetatge) i amb una desviació estàndard acceptable (també el relatiu). Per tant, podem assegurar que s'ha fet una bon anàlisi quantitatiu i amb una tècnica senzilla i econòmica que permet validar les afirmacions del fabricant. </t>
  </si>
  <si>
    <t>Fem servir espectofotòmetre d'absorció atòmica per a la detecció de ferro (Fe) i manganès (Mn). L'equip és 55 AA Atomic Absorption Spectrometer de la marca Agilent. Permet l'atomització de la mostra per flama.</t>
  </si>
  <si>
    <r>
      <t xml:space="preserve">El valor teòric segons l'etiqueta proporcionat pel fabricant és de 5 mg per comprimit. S'ha calculat un resultat mitjà obtingut a partir de quatre diferents rèpliques. Les concentracions s'han obtingut per interpolació d'un recta de calibratge amb patrons externs i utiltizant l'aparell AASF. S'obté </t>
    </r>
    <r>
      <rPr>
        <b/>
        <sz val="11"/>
        <color theme="1"/>
        <rFont val="Arial"/>
        <family val="2"/>
      </rPr>
      <t>(5,6 ± 0,1) mg/mL</t>
    </r>
    <r>
      <rPr>
        <sz val="11"/>
        <color theme="1"/>
        <rFont val="Arial"/>
        <family val="2"/>
      </rPr>
      <t>. Cal però tenir en compte que els intervals de confiança per a la majoria de grups accepta el valor de l'etiqueta tenint en compte dos intervals de confiança. Per tant, podem acceptar el valor de l'etiqueta (i el obtingut amb l'estudi UV-Vis).  A més, ens adonem que els resultats obtinguts amb AASF són molt reproduïbles, doncs la desviació estàndard dels resultats de les quatre parelles (0,1 mg/mL) és més petita que els intervals de confiança. Aquesta petita diferència de concentració de ferro amb AASF (en contraposició amb UV-Vis) podria ser perquè té en compte tot el ferro present a la mostra, independentment del seu estat d'oxidació. Mentre que amb el UV-Vis només podíem quantificar la forma que complexava, el Fe(II).</t>
    </r>
  </si>
  <si>
    <r>
      <t xml:space="preserve">Hem trobat que sí existeixen diferències signficatives. La precisió d'ambdós mètodes és prou similar; en funció de la parella s'ha trobat que un dona més precisió que l'altra. En el nostre cas, ambdós tècniques ens han donat precisions similars. En tot cas, el UV-Vis ha donat a les quatre parelles un valor més proper al de l'etiqueta. Així doncs, amb els resultats obtinguts, </t>
    </r>
    <r>
      <rPr>
        <u/>
        <sz val="11"/>
        <color theme="1"/>
        <rFont val="Arial"/>
        <family val="2"/>
      </rPr>
      <t>UV-Vis dona menys error que AASF</t>
    </r>
    <r>
      <rPr>
        <sz val="11"/>
        <color theme="1"/>
        <rFont val="Arial"/>
        <family val="2"/>
      </rPr>
      <t xml:space="preserve">. Per això mateix, el test de comparació de dades aparellades ha fallat i ens ha dit que </t>
    </r>
    <r>
      <rPr>
        <u/>
        <sz val="11"/>
        <color theme="1"/>
        <rFont val="Arial"/>
        <family val="2"/>
      </rPr>
      <t>no</t>
    </r>
    <r>
      <rPr>
        <sz val="11"/>
        <color theme="1"/>
        <rFont val="Arial"/>
        <family val="2"/>
      </rPr>
      <t xml:space="preserve"> podem comparar-les. Hem obtingut valors molt similars i precisos entre els companys, però els valors obtinguts amb AASF s'escapen del valor "teòric", impossibilitant la comparació d'ambdós mètodes. Pensem que podria ser precisament perquè un mesura només Fe(II) i l'altre mesura tot el ferro present.</t>
    </r>
  </si>
  <si>
    <t>L'avantatge principal de la tècnica AASF és que realitza la detecció del ferro atòmic independentment de l'estat d'oxidació i, per tant, no és necessari haver de fer el procés de complexació. També, tècnicament, l'aparell i per tant el mètode d'anàlisi és més exacte i precís. Malauradament, aquest procediment també presenta inconvenients. Els principals serien: (1) La dificultat i cost d'operar el AASF: Requereix tenir una instal·lació de tuberies d'acetilè, detector per si hi ha fugues, campanes extractores. El procediment de mesura no és complex, però si que és més difícil i requereix seguir un PNT llarg. Contràriament, l'aparell UV-Vis es pot tenir a la mateixa taula i és més senzill d'operar amb un cost a l'hora de funcionar extremadament més baix. (2) Laboriositat i rapidesa de la mesura: Amb el UV-Vis és simplement seleccionar la longitud d'ona desitjada i realitzar les mesures successives de manera ràpida posant les solucions en cubetes, però amb el AASF el temps de mesura de cada solució ja és d'entrada més llarg i requereix anar canviant el capil·lar de posició perquè vagi absorbint les diferents solucions. Les mesures successives tenen més temps entre cadascuna.</t>
  </si>
  <si>
    <t xml:space="preserve">En gris claret les dades calculades amb les </t>
  </si>
  <si>
    <t>mateixes unitats que a l'apartat C1 per comparar</t>
  </si>
  <si>
    <t>les dades correctament.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</si>
</sst>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
    <numFmt numFmtId="166" formatCode="0.000"/>
    <numFmt numFmtId="167" formatCode="0.00000000"/>
    <numFmt numFmtId="168" formatCode="0.00000"/>
    <numFmt numFmtId="169" formatCode="0.000000"/>
    <numFmt numFmtId="170" formatCode="0.0000000"/>
  </numFmts>
  <fonts count="21" x14ac:knownFonts="1">
    <font>
      <sz val="11"/>
      <color theme="1"/>
      <name val="Calibri"/>
      <family val="2"/>
      <scheme val="minor"/>
    </font>
    <font>
      <sz val="11"/>
      <color theme="1"/>
      <name val="Arial"/>
      <family val="2"/>
    </font>
    <font>
      <b/>
      <sz val="11"/>
      <color theme="1"/>
      <name val="Arial"/>
      <family val="2"/>
    </font>
    <font>
      <b/>
      <sz val="14"/>
      <color theme="1"/>
      <name val="Arial"/>
      <family val="2"/>
    </font>
    <font>
      <sz val="8"/>
      <name val="Calibri"/>
      <family val="2"/>
      <scheme val="minor"/>
    </font>
    <font>
      <sz val="10"/>
      <color theme="1"/>
      <name val="Calibri"/>
      <family val="2"/>
      <scheme val="minor"/>
    </font>
    <font>
      <b/>
      <sz val="10"/>
      <color theme="1"/>
      <name val="Arial"/>
      <family val="2"/>
    </font>
    <font>
      <b/>
      <i/>
      <sz val="11"/>
      <color theme="1"/>
      <name val="Arial"/>
      <family val="2"/>
    </font>
    <font>
      <sz val="10"/>
      <color theme="1"/>
      <name val="Arial"/>
      <family val="2"/>
    </font>
    <font>
      <b/>
      <sz val="16"/>
      <color theme="1"/>
      <name val="Arial"/>
      <family val="2"/>
    </font>
    <font>
      <b/>
      <sz val="11"/>
      <color theme="1"/>
      <name val="Calibri"/>
      <family val="2"/>
      <scheme val="minor"/>
    </font>
    <font>
      <b/>
      <sz val="12"/>
      <color theme="1"/>
      <name val="Arial"/>
      <family val="2"/>
    </font>
    <font>
      <i/>
      <sz val="11"/>
      <color theme="1"/>
      <name val="Arial"/>
      <family val="2"/>
    </font>
    <font>
      <b/>
      <sz val="18"/>
      <color rgb="FFFF0000"/>
      <name val="Arial"/>
      <family val="2"/>
    </font>
    <font>
      <sz val="11"/>
      <color theme="0" tint="-0.34998626667073579"/>
      <name val="Arial"/>
      <family val="2"/>
    </font>
    <font>
      <sz val="12"/>
      <color theme="1"/>
      <name val="Arial"/>
      <family val="2"/>
    </font>
    <font>
      <sz val="11"/>
      <color rgb="FF1F1F1F"/>
      <name val="Arial"/>
      <family val="2"/>
    </font>
    <font>
      <u/>
      <sz val="11"/>
      <color theme="1"/>
      <name val="Arial"/>
      <family val="2"/>
    </font>
    <font>
      <sz val="11"/>
      <color rgb="FFFF0000"/>
      <name val="Arial"/>
      <family val="2"/>
    </font>
    <font>
      <sz val="11"/>
      <name val="Arial"/>
      <family val="2"/>
    </font>
    <font>
      <b/>
      <u/>
      <sz val="11"/>
      <color theme="1"/>
      <name val="Arial"/>
      <family val="2"/>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8" tint="0.59999389629810485"/>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18">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7" fillId="0" borderId="0" xfId="0" applyFont="1"/>
    <xf numFmtId="0" fontId="8" fillId="0" borderId="3"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165" fontId="1" fillId="0" borderId="0" xfId="0" applyNumberFormat="1" applyFont="1"/>
    <xf numFmtId="164" fontId="1" fillId="0" borderId="0" xfId="0" applyNumberFormat="1" applyFont="1"/>
    <xf numFmtId="164" fontId="1" fillId="0" borderId="0" xfId="0" applyNumberFormat="1"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1" fillId="0" borderId="0" xfId="0" applyFont="1" applyAlignment="1">
      <alignment vertical="center"/>
    </xf>
    <xf numFmtId="166" fontId="1" fillId="0" borderId="0" xfId="0" applyNumberFormat="1" applyFont="1"/>
    <xf numFmtId="165" fontId="1" fillId="0" borderId="14" xfId="0" applyNumberFormat="1" applyFont="1" applyBorder="1" applyAlignment="1">
      <alignment horizontal="center"/>
    </xf>
    <xf numFmtId="164" fontId="1" fillId="0" borderId="3" xfId="0" applyNumberFormat="1" applyFont="1" applyBorder="1" applyAlignment="1">
      <alignment horizontal="center" vertical="center"/>
    </xf>
    <xf numFmtId="2" fontId="1" fillId="0" borderId="3" xfId="0" applyNumberFormat="1" applyFont="1" applyBorder="1" applyAlignment="1">
      <alignment horizontal="center" vertical="center"/>
    </xf>
    <xf numFmtId="164" fontId="1" fillId="0" borderId="13" xfId="0" applyNumberFormat="1" applyFont="1" applyBorder="1" applyAlignment="1">
      <alignment horizontal="center" vertical="center"/>
    </xf>
    <xf numFmtId="2" fontId="1" fillId="0" borderId="12" xfId="0" applyNumberFormat="1" applyFont="1" applyBorder="1" applyAlignment="1">
      <alignment vertical="center"/>
    </xf>
    <xf numFmtId="2" fontId="1" fillId="0" borderId="13" xfId="0" applyNumberFormat="1" applyFont="1" applyBorder="1" applyAlignment="1">
      <alignment vertical="center"/>
    </xf>
    <xf numFmtId="165" fontId="1" fillId="0" borderId="3" xfId="0" applyNumberFormat="1" applyFont="1" applyBorder="1" applyAlignment="1">
      <alignment horizontal="center" vertical="center"/>
    </xf>
    <xf numFmtId="164" fontId="1" fillId="0" borderId="12" xfId="0" applyNumberFormat="1" applyFont="1" applyBorder="1" applyAlignment="1">
      <alignment vertical="center"/>
    </xf>
    <xf numFmtId="164" fontId="1" fillId="0" borderId="13" xfId="0" applyNumberFormat="1" applyFont="1" applyBorder="1" applyAlignment="1">
      <alignment vertical="center"/>
    </xf>
    <xf numFmtId="0" fontId="9" fillId="0" borderId="0" xfId="0" applyFont="1"/>
    <xf numFmtId="0" fontId="1" fillId="0" borderId="14" xfId="0" applyFont="1" applyBorder="1"/>
    <xf numFmtId="0" fontId="1" fillId="3" borderId="0" xfId="0" applyFont="1" applyFill="1"/>
    <xf numFmtId="0" fontId="2" fillId="0" borderId="3" xfId="0" applyFont="1" applyBorder="1"/>
    <xf numFmtId="0" fontId="10" fillId="0" borderId="0" xfId="0" applyFont="1" applyAlignment="1">
      <alignment horizontal="right"/>
    </xf>
    <xf numFmtId="0" fontId="2" fillId="0" borderId="0" xfId="0" applyFont="1" applyAlignment="1">
      <alignment horizontal="right"/>
    </xf>
    <xf numFmtId="165" fontId="1" fillId="0" borderId="0" xfId="0" applyNumberFormat="1" applyFont="1" applyAlignment="1">
      <alignment horizontal="right" vertical="center"/>
    </xf>
    <xf numFmtId="166" fontId="1" fillId="0" borderId="0" xfId="0" applyNumberFormat="1" applyFont="1" applyAlignment="1">
      <alignment horizontal="right" vertical="center"/>
    </xf>
    <xf numFmtId="164" fontId="1" fillId="0" borderId="0" xfId="0" applyNumberFormat="1" applyFont="1" applyAlignment="1">
      <alignment horizontal="right" vertical="center"/>
    </xf>
    <xf numFmtId="2" fontId="1" fillId="0" borderId="0" xfId="0" applyNumberFormat="1" applyFont="1"/>
    <xf numFmtId="0" fontId="2" fillId="2" borderId="0" xfId="0" applyFont="1" applyFill="1"/>
    <xf numFmtId="0" fontId="6" fillId="0" borderId="16" xfId="0" applyFont="1" applyBorder="1" applyAlignment="1">
      <alignment horizontal="center" vertical="center" wrapText="1"/>
    </xf>
    <xf numFmtId="1" fontId="1" fillId="0" borderId="0" xfId="0" applyNumberFormat="1" applyFont="1"/>
    <xf numFmtId="166" fontId="0" fillId="0" borderId="1" xfId="0" applyNumberFormat="1" applyBorder="1"/>
    <xf numFmtId="166" fontId="0" fillId="0" borderId="17" xfId="0" applyNumberFormat="1" applyBorder="1"/>
    <xf numFmtId="11" fontId="0" fillId="0" borderId="0" xfId="0" applyNumberFormat="1"/>
    <xf numFmtId="0" fontId="0" fillId="0" borderId="0" xfId="0" applyAlignment="1">
      <alignment horizontal="right"/>
    </xf>
    <xf numFmtId="2" fontId="1" fillId="3" borderId="0" xfId="0" applyNumberFormat="1" applyFont="1" applyFill="1"/>
    <xf numFmtId="167" fontId="5" fillId="0" borderId="17" xfId="0" applyNumberFormat="1" applyFont="1" applyBorder="1" applyAlignment="1">
      <alignment vertical="center" wrapText="1"/>
    </xf>
    <xf numFmtId="168" fontId="1" fillId="3" borderId="0" xfId="0" applyNumberFormat="1" applyFont="1" applyFill="1"/>
    <xf numFmtId="0" fontId="2" fillId="0" borderId="0" xfId="0" applyFont="1" applyAlignment="1">
      <alignment vertical="center"/>
    </xf>
    <xf numFmtId="0" fontId="11" fillId="0" borderId="0" xfId="0" applyFont="1"/>
    <xf numFmtId="0" fontId="2" fillId="3" borderId="0" xfId="0" applyFont="1" applyFill="1"/>
    <xf numFmtId="0" fontId="1" fillId="3" borderId="0" xfId="0" applyFont="1" applyFill="1" applyAlignment="1">
      <alignment horizontal="left" vertical="center"/>
    </xf>
    <xf numFmtId="0" fontId="13" fillId="0" borderId="0" xfId="0" applyFont="1"/>
    <xf numFmtId="0" fontId="14" fillId="0" borderId="0" xfId="0" applyFont="1"/>
    <xf numFmtId="0" fontId="2" fillId="4" borderId="0" xfId="0" applyFont="1" applyFill="1"/>
    <xf numFmtId="0" fontId="1" fillId="4" borderId="0" xfId="0" applyFont="1" applyFill="1" applyAlignment="1">
      <alignment vertical="center"/>
    </xf>
    <xf numFmtId="169" fontId="1" fillId="4" borderId="0" xfId="0" applyNumberFormat="1" applyFont="1" applyFill="1" applyAlignment="1">
      <alignment vertical="center"/>
    </xf>
    <xf numFmtId="0" fontId="2" fillId="4" borderId="0" xfId="0" applyFont="1" applyFill="1" applyAlignment="1">
      <alignment horizontal="right"/>
    </xf>
    <xf numFmtId="0" fontId="1" fillId="4" borderId="0" xfId="0" applyFont="1" applyFill="1"/>
    <xf numFmtId="0" fontId="7" fillId="4" borderId="0" xfId="0" applyFont="1" applyFill="1"/>
    <xf numFmtId="0" fontId="12" fillId="4" borderId="0" xfId="0" applyFont="1" applyFill="1"/>
    <xf numFmtId="0" fontId="15" fillId="0" borderId="0" xfId="0" applyFont="1"/>
    <xf numFmtId="14" fontId="15" fillId="0" borderId="0" xfId="0" applyNumberFormat="1" applyFont="1" applyAlignment="1">
      <alignment horizontal="left"/>
    </xf>
    <xf numFmtId="14" fontId="1" fillId="0" borderId="0" xfId="0" applyNumberFormat="1" applyFont="1" applyAlignment="1">
      <alignment horizontal="left" vertical="center"/>
    </xf>
    <xf numFmtId="0" fontId="1" fillId="0" borderId="0" xfId="0" applyFont="1" applyAlignment="1">
      <alignment horizontal="left" vertical="center"/>
    </xf>
    <xf numFmtId="166" fontId="0" fillId="0" borderId="1" xfId="0" applyNumberFormat="1" applyBorder="1" applyAlignment="1">
      <alignment horizontal="center"/>
    </xf>
    <xf numFmtId="166" fontId="0" fillId="0" borderId="17" xfId="0" applyNumberFormat="1" applyBorder="1" applyAlignment="1">
      <alignment horizontal="center"/>
    </xf>
    <xf numFmtId="164" fontId="5" fillId="0" borderId="1" xfId="0" applyNumberFormat="1" applyFont="1" applyBorder="1" applyAlignment="1">
      <alignment horizontal="center" wrapText="1"/>
    </xf>
    <xf numFmtId="0" fontId="5" fillId="0" borderId="2" xfId="0" applyFont="1" applyBorder="1" applyAlignment="1">
      <alignment horizontal="center" wrapText="1"/>
    </xf>
    <xf numFmtId="170" fontId="5" fillId="0" borderId="15" xfId="0" applyNumberFormat="1" applyFont="1" applyBorder="1" applyAlignment="1">
      <alignment horizontal="center" vertical="center" wrapText="1"/>
    </xf>
    <xf numFmtId="164" fontId="0" fillId="0" borderId="0" xfId="0" applyNumberFormat="1"/>
    <xf numFmtId="166" fontId="0" fillId="0" borderId="0" xfId="0" applyNumberFormat="1"/>
    <xf numFmtId="1" fontId="0" fillId="0" borderId="0" xfId="0" applyNumberFormat="1"/>
    <xf numFmtId="0" fontId="1" fillId="3" borderId="0" xfId="0" applyFont="1" applyFill="1" applyAlignment="1">
      <alignment horizontal="center" vertical="center"/>
    </xf>
    <xf numFmtId="0" fontId="1" fillId="0" borderId="0" xfId="0" applyFont="1" applyAlignment="1">
      <alignment horizontal="center" vertical="center"/>
    </xf>
    <xf numFmtId="0" fontId="16" fillId="3" borderId="0" xfId="0" applyFont="1" applyFill="1" applyAlignment="1">
      <alignment horizontal="center" vertical="center"/>
    </xf>
    <xf numFmtId="164" fontId="1" fillId="3" borderId="0" xfId="0" applyNumberFormat="1" applyFont="1" applyFill="1" applyAlignment="1">
      <alignment horizontal="center" vertical="center"/>
    </xf>
    <xf numFmtId="168" fontId="1" fillId="0" borderId="0" xfId="0" applyNumberFormat="1" applyFont="1"/>
    <xf numFmtId="164" fontId="5" fillId="0" borderId="3" xfId="0" applyNumberFormat="1" applyFont="1" applyBorder="1" applyAlignment="1">
      <alignment horizontal="center" vertical="center" wrapText="1"/>
    </xf>
    <xf numFmtId="164" fontId="8" fillId="0" borderId="3" xfId="0" applyNumberFormat="1" applyFont="1" applyBorder="1" applyAlignment="1">
      <alignment horizontal="center" vertical="center" wrapText="1"/>
    </xf>
    <xf numFmtId="0" fontId="14" fillId="0" borderId="0" xfId="0" applyFont="1" applyAlignment="1">
      <alignment vertical="center"/>
    </xf>
    <xf numFmtId="165" fontId="1" fillId="0" borderId="0" xfId="0" applyNumberFormat="1" applyFont="1" applyAlignment="1">
      <alignment horizontal="center"/>
    </xf>
    <xf numFmtId="164" fontId="2" fillId="0" borderId="0" xfId="0" applyNumberFormat="1" applyFont="1" applyAlignment="1">
      <alignment horizontal="center"/>
    </xf>
    <xf numFmtId="164" fontId="2" fillId="2" borderId="0" xfId="0" applyNumberFormat="1" applyFont="1" applyFill="1"/>
    <xf numFmtId="0" fontId="2" fillId="0" borderId="3" xfId="0" applyFont="1" applyBorder="1" applyAlignment="1">
      <alignment horizontal="center" vertical="center"/>
    </xf>
    <xf numFmtId="0" fontId="2" fillId="0" borderId="13" xfId="0" applyFont="1" applyBorder="1" applyAlignment="1">
      <alignment horizontal="center" vertical="center"/>
    </xf>
    <xf numFmtId="164" fontId="1" fillId="3" borderId="0" xfId="0" applyNumberFormat="1" applyFont="1" applyFill="1"/>
    <xf numFmtId="168" fontId="1" fillId="4" borderId="0" xfId="0" applyNumberFormat="1" applyFont="1" applyFill="1" applyAlignment="1">
      <alignment vertical="center"/>
    </xf>
    <xf numFmtId="0" fontId="18" fillId="4" borderId="0" xfId="0" applyFont="1" applyFill="1"/>
    <xf numFmtId="2" fontId="1" fillId="4" borderId="0" xfId="0" applyNumberFormat="1" applyFont="1" applyFill="1"/>
    <xf numFmtId="164" fontId="12" fillId="4" borderId="0" xfId="0" applyNumberFormat="1" applyFont="1" applyFill="1"/>
    <xf numFmtId="164" fontId="1" fillId="4" borderId="0" xfId="0" applyNumberFormat="1" applyFont="1" applyFill="1"/>
    <xf numFmtId="0" fontId="11" fillId="4" borderId="0" xfId="0" applyFont="1" applyFill="1" applyAlignment="1">
      <alignment vertical="center"/>
    </xf>
    <xf numFmtId="169" fontId="5" fillId="0" borderId="15" xfId="0" applyNumberFormat="1" applyFont="1" applyBorder="1" applyAlignment="1">
      <alignment horizontal="center" vertical="center" wrapText="1"/>
    </xf>
    <xf numFmtId="0" fontId="1" fillId="3" borderId="0" xfId="0" applyFont="1" applyFill="1" applyAlignment="1">
      <alignment horizontal="center" vertical="center" wrapText="1"/>
    </xf>
    <xf numFmtId="164" fontId="1" fillId="0" borderId="3" xfId="0" applyNumberFormat="1" applyFont="1" applyBorder="1" applyAlignment="1">
      <alignment horizontal="center" vertical="center" wrapText="1"/>
    </xf>
    <xf numFmtId="164" fontId="1" fillId="0" borderId="10" xfId="0" applyNumberFormat="1" applyFont="1" applyBorder="1" applyAlignment="1">
      <alignment horizontal="center" vertical="center" wrapText="1"/>
    </xf>
    <xf numFmtId="164" fontId="1" fillId="0" borderId="3" xfId="0" applyNumberFormat="1" applyFont="1" applyBorder="1" applyAlignment="1">
      <alignment horizontal="center" vertical="center"/>
    </xf>
    <xf numFmtId="164" fontId="1" fillId="0" borderId="10" xfId="0" applyNumberFormat="1" applyFont="1" applyBorder="1" applyAlignment="1">
      <alignment horizontal="center" vertical="center"/>
    </xf>
    <xf numFmtId="164" fontId="1" fillId="0" borderId="8" xfId="0" applyNumberFormat="1" applyFont="1" applyBorder="1" applyAlignment="1">
      <alignment horizontal="center" vertical="center"/>
    </xf>
    <xf numFmtId="164" fontId="1" fillId="0" borderId="11" xfId="0" applyNumberFormat="1" applyFont="1" applyBorder="1" applyAlignment="1">
      <alignment horizontal="center" vertical="center"/>
    </xf>
    <xf numFmtId="0" fontId="2" fillId="3" borderId="0" xfId="0" applyFont="1" applyFill="1" applyAlignment="1">
      <alignment horizontal="center"/>
    </xf>
    <xf numFmtId="0" fontId="1" fillId="0" borderId="0" xfId="0" applyFont="1" applyAlignment="1">
      <alignment horizontal="center" vertical="top" wrapText="1"/>
    </xf>
    <xf numFmtId="0" fontId="2" fillId="0" borderId="0" xfId="0" applyFont="1" applyAlignment="1">
      <alignment horizontal="center" vertical="top" wrapText="1"/>
    </xf>
    <xf numFmtId="0" fontId="1" fillId="0" borderId="0" xfId="0" applyFont="1" applyAlignment="1">
      <alignment horizontal="center" vertical="center" wrapText="1"/>
    </xf>
    <xf numFmtId="164" fontId="8" fillId="0" borderId="3" xfId="0" applyNumberFormat="1" applyFont="1" applyBorder="1" applyAlignment="1">
      <alignment horizontal="center" vertical="center" wrapText="1"/>
    </xf>
    <xf numFmtId="164" fontId="8" fillId="0" borderId="10" xfId="0" applyNumberFormat="1" applyFont="1" applyBorder="1" applyAlignment="1">
      <alignment horizontal="center" vertical="center" wrapText="1"/>
    </xf>
    <xf numFmtId="0" fontId="1" fillId="0" borderId="12" xfId="0" applyFont="1" applyBorder="1" applyAlignment="1">
      <alignment horizontal="center" vertical="center"/>
    </xf>
    <xf numFmtId="0" fontId="1" fillId="0" borderId="1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Recta de calibratge {Abs. vs. Conc.</a:t>
            </a:r>
            <a:r>
              <a:rPr lang="es-ES_tradnl" baseline="0"/>
              <a:t> Patró Fe(II)}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spPr>
            <a:ln w="25400" cap="rnd">
              <a:noFill/>
              <a:round/>
            </a:ln>
            <a:effectLst/>
          </c:spPr>
          <c:marker>
            <c:symbol val="circle"/>
            <c:size val="5"/>
            <c:spPr>
              <a:solidFill>
                <a:srgbClr val="7030A0"/>
              </a:solidFill>
              <a:ln w="9525">
                <a:solidFill>
                  <a:srgbClr val="7030A0"/>
                </a:solidFill>
              </a:ln>
              <a:effectLst/>
            </c:spPr>
          </c:marker>
          <c:trendline>
            <c:spPr>
              <a:ln w="19050" cap="rnd">
                <a:solidFill>
                  <a:srgbClr val="7030A0"/>
                </a:solidFill>
                <a:prstDash val="sysDot"/>
              </a:ln>
              <a:effectLst/>
            </c:spPr>
            <c:trendlineType val="linear"/>
            <c:dispRSqr val="1"/>
            <c:dispEq val="1"/>
            <c:trendlineLbl>
              <c:layout>
                <c:manualLayout>
                  <c:x val="3.2727338198578836E-2"/>
                  <c:y val="0.22717541886211587"/>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trendlineLbl>
          </c:trendline>
          <c:xVal>
            <c:numRef>
              <c:f>'C1'!$K$74:$K$78</c:f>
              <c:numCache>
                <c:formatCode>0.00000000</c:formatCode>
                <c:ptCount val="5"/>
                <c:pt idx="0">
                  <c:v>8.0140000000000018E-4</c:v>
                </c:pt>
                <c:pt idx="1">
                  <c:v>1.6028000000000004E-3</c:v>
                </c:pt>
                <c:pt idx="2">
                  <c:v>2.4042000000000004E-3</c:v>
                </c:pt>
                <c:pt idx="3">
                  <c:v>3.2056000000000007E-3</c:v>
                </c:pt>
                <c:pt idx="4">
                  <c:v>4.0070000000000001E-3</c:v>
                </c:pt>
              </c:numCache>
            </c:numRef>
          </c:xVal>
          <c:yVal>
            <c:numRef>
              <c:f>'C1'!$L$74:$L$78</c:f>
              <c:numCache>
                <c:formatCode>0.000</c:formatCode>
                <c:ptCount val="5"/>
                <c:pt idx="0">
                  <c:v>0.159</c:v>
                </c:pt>
                <c:pt idx="1">
                  <c:v>0.32200000000000001</c:v>
                </c:pt>
                <c:pt idx="2">
                  <c:v>0.47</c:v>
                </c:pt>
                <c:pt idx="3">
                  <c:v>0.62</c:v>
                </c:pt>
                <c:pt idx="4">
                  <c:v>0.77300000000000002</c:v>
                </c:pt>
              </c:numCache>
            </c:numRef>
          </c:yVal>
          <c:smooth val="0"/>
          <c:extLst>
            <c:ext xmlns:c16="http://schemas.microsoft.com/office/drawing/2014/chart" uri="{C3380CC4-5D6E-409C-BE32-E72D297353CC}">
              <c16:uniqueId val="{00000000-7A9F-0B47-BB87-E3D96069E7CB}"/>
            </c:ext>
          </c:extLst>
        </c:ser>
        <c:dLbls>
          <c:showLegendKey val="0"/>
          <c:showVal val="0"/>
          <c:showCatName val="0"/>
          <c:showSerName val="0"/>
          <c:showPercent val="0"/>
          <c:showBubbleSize val="0"/>
        </c:dLbls>
        <c:axId val="1625138687"/>
        <c:axId val="1217966191"/>
      </c:scatterChart>
      <c:valAx>
        <c:axId val="1625138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_tradnl"/>
                  <a:t>Concentració patró de Fe (II) [mg/mL]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17966191"/>
        <c:crosses val="autoZero"/>
        <c:crossBetween val="midCat"/>
      </c:valAx>
      <c:valAx>
        <c:axId val="1217966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_tradnl"/>
                  <a:t>Absorbància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251386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rgbClr val="7030A0"/>
              </a:solidFill>
              <a:ln w="9525">
                <a:solidFill>
                  <a:srgbClr val="7030A0"/>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7030A0"/>
                </a:solidFill>
                <a:prstDash val="sysDot"/>
              </a:ln>
              <a:effectLst/>
            </c:spPr>
            <c:trendlineType val="linear"/>
            <c:dispRSqr val="1"/>
            <c:dispEq val="1"/>
            <c:trendlineLbl>
              <c:layout>
                <c:manualLayout>
                  <c:x val="0.13613543545254525"/>
                  <c:y val="0.10398685087872626"/>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trendlineLbl>
          </c:trendline>
          <c:xVal>
            <c:numRef>
              <c:f>'C2'!$C$30:$C$34</c:f>
              <c:numCache>
                <c:formatCode>0.0</c:formatCode>
                <c:ptCount val="5"/>
                <c:pt idx="0" formatCode="0.00">
                  <c:v>0.80140000000000011</c:v>
                </c:pt>
                <c:pt idx="1">
                  <c:v>1.6028000000000002</c:v>
                </c:pt>
                <c:pt idx="2">
                  <c:v>2.4042000000000003</c:v>
                </c:pt>
                <c:pt idx="3">
                  <c:v>3.2056000000000004</c:v>
                </c:pt>
                <c:pt idx="4">
                  <c:v>4.0070000000000006</c:v>
                </c:pt>
              </c:numCache>
            </c:numRef>
          </c:xVal>
          <c:yVal>
            <c:numRef>
              <c:f>'C2'!$D$30:$D$34</c:f>
              <c:numCache>
                <c:formatCode>General</c:formatCode>
                <c:ptCount val="5"/>
                <c:pt idx="0">
                  <c:v>7.2300000000000003E-2</c:v>
                </c:pt>
                <c:pt idx="1">
                  <c:v>0.13150000000000001</c:v>
                </c:pt>
                <c:pt idx="2">
                  <c:v>0.18160000000000001</c:v>
                </c:pt>
                <c:pt idx="3">
                  <c:v>0.2311</c:v>
                </c:pt>
                <c:pt idx="4">
                  <c:v>0.28360000000000002</c:v>
                </c:pt>
              </c:numCache>
            </c:numRef>
          </c:yVal>
          <c:smooth val="0"/>
          <c:extLst>
            <c:ext xmlns:c16="http://schemas.microsoft.com/office/drawing/2014/chart" uri="{C3380CC4-5D6E-409C-BE32-E72D297353CC}">
              <c16:uniqueId val="{00000002-EE24-413F-A1F3-836ABA410C25}"/>
            </c:ext>
          </c:extLst>
        </c:ser>
        <c:dLbls>
          <c:showLegendKey val="0"/>
          <c:showVal val="0"/>
          <c:showCatName val="0"/>
          <c:showSerName val="0"/>
          <c:showPercent val="0"/>
          <c:showBubbleSize val="0"/>
        </c:dLbls>
        <c:axId val="1080770432"/>
        <c:axId val="1080760352"/>
      </c:scatterChart>
      <c:valAx>
        <c:axId val="1080770432"/>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[Fe(II)]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60352"/>
        <c:crosses val="autoZero"/>
        <c:crossBetween val="midCat"/>
      </c:valAx>
      <c:valAx>
        <c:axId val="1080760352"/>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Absorbance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70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rgbClr val="7030A0"/>
              </a:solidFill>
              <a:ln w="9525">
                <a:solidFill>
                  <a:srgbClr val="7030A0"/>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7030A0"/>
                </a:solidFill>
                <a:prstDash val="sysDot"/>
              </a:ln>
              <a:effectLst/>
            </c:spPr>
            <c:trendlineType val="linear"/>
            <c:dispRSqr val="1"/>
            <c:dispEq val="1"/>
            <c:trendlineLbl>
              <c:layout>
                <c:manualLayout>
                  <c:x val="0.20981077051666511"/>
                  <c:y val="-9.7310440194235917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trendlineLbl>
          </c:trendline>
          <c:xVal>
            <c:numRef>
              <c:f>'C2'!$I$30:$I$34</c:f>
              <c:numCache>
                <c:formatCode>0.0</c:formatCode>
                <c:ptCount val="5"/>
                <c:pt idx="0" formatCode="0.00">
                  <c:v>0.80359907797893737</c:v>
                </c:pt>
                <c:pt idx="1">
                  <c:v>1.6071981559578747</c:v>
                </c:pt>
                <c:pt idx="2">
                  <c:v>2.4107972339368122</c:v>
                </c:pt>
                <c:pt idx="3">
                  <c:v>3.2143963119157495</c:v>
                </c:pt>
                <c:pt idx="4">
                  <c:v>4.0179953898946872</c:v>
                </c:pt>
              </c:numCache>
            </c:numRef>
          </c:xVal>
          <c:yVal>
            <c:numRef>
              <c:f>'C2'!$K$30:$K$34</c:f>
              <c:numCache>
                <c:formatCode>0.0000</c:formatCode>
                <c:ptCount val="5"/>
                <c:pt idx="0">
                  <c:v>0.15329999999999999</c:v>
                </c:pt>
                <c:pt idx="1">
                  <c:v>0.29089999999999999</c:v>
                </c:pt>
                <c:pt idx="2">
                  <c:v>0.42399999999999999</c:v>
                </c:pt>
                <c:pt idx="3">
                  <c:v>0.48749999999999999</c:v>
                </c:pt>
                <c:pt idx="4">
                  <c:v>0.66959999999999997</c:v>
                </c:pt>
              </c:numCache>
            </c:numRef>
          </c:yVal>
          <c:smooth val="0"/>
          <c:extLst>
            <c:ext xmlns:c16="http://schemas.microsoft.com/office/drawing/2014/chart" uri="{C3380CC4-5D6E-409C-BE32-E72D297353CC}">
              <c16:uniqueId val="{00000002-73A6-4623-BA3A-E788030A98C1}"/>
            </c:ext>
          </c:extLst>
        </c:ser>
        <c:dLbls>
          <c:showLegendKey val="0"/>
          <c:showVal val="0"/>
          <c:showCatName val="0"/>
          <c:showSerName val="0"/>
          <c:showPercent val="0"/>
          <c:showBubbleSize val="0"/>
        </c:dLbls>
        <c:axId val="1080770432"/>
        <c:axId val="1080760352"/>
      </c:scatterChart>
      <c:valAx>
        <c:axId val="1080770432"/>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[Mn(II)]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60352"/>
        <c:crosses val="autoZero"/>
        <c:crossBetween val="midCat"/>
      </c:valAx>
      <c:valAx>
        <c:axId val="1080760352"/>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Absorbance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70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3.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85725</xdr:colOff>
      <xdr:row>48</xdr:row>
      <xdr:rowOff>9525</xdr:rowOff>
    </xdr:from>
    <xdr:to>
      <xdr:col>5</xdr:col>
      <xdr:colOff>819150</xdr:colOff>
      <xdr:row>58</xdr:row>
      <xdr:rowOff>171450</xdr:rowOff>
    </xdr:to>
    <xdr:sp macro="" textlink="">
      <xdr:nvSpPr>
        <xdr:cNvPr id="2" name="CuadroTexto 1">
          <a:extLst>
            <a:ext uri="{FF2B5EF4-FFF2-40B4-BE49-F238E27FC236}">
              <a16:creationId xmlns:a16="http://schemas.microsoft.com/office/drawing/2014/main" id="{AE760F90-9A37-4403-8941-A46B1206963D}"/>
            </a:ext>
          </a:extLst>
        </xdr:cNvPr>
        <xdr:cNvSpPr txBox="1"/>
      </xdr:nvSpPr>
      <xdr:spPr>
        <a:xfrm>
          <a:off x="85725" y="6562725"/>
          <a:ext cx="4171950"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ca-ES" sz="1100"/>
        </a:p>
      </xdr:txBody>
    </xdr:sp>
    <xdr:clientData/>
  </xdr:twoCellAnchor>
  <xdr:twoCellAnchor>
    <xdr:from>
      <xdr:col>0</xdr:col>
      <xdr:colOff>85725</xdr:colOff>
      <xdr:row>16</xdr:row>
      <xdr:rowOff>9525</xdr:rowOff>
    </xdr:from>
    <xdr:to>
      <xdr:col>5</xdr:col>
      <xdr:colOff>819150</xdr:colOff>
      <xdr:row>26</xdr:row>
      <xdr:rowOff>171450</xdr:rowOff>
    </xdr:to>
    <xdr:sp macro="" textlink="">
      <xdr:nvSpPr>
        <xdr:cNvPr id="3" name="CuadroTexto 2">
          <a:extLst>
            <a:ext uri="{FF2B5EF4-FFF2-40B4-BE49-F238E27FC236}">
              <a16:creationId xmlns:a16="http://schemas.microsoft.com/office/drawing/2014/main" id="{BBFA22E7-3A23-49BD-B84C-1FABBF8D7BB7}"/>
            </a:ext>
          </a:extLst>
        </xdr:cNvPr>
        <xdr:cNvSpPr txBox="1"/>
      </xdr:nvSpPr>
      <xdr:spPr>
        <a:xfrm>
          <a:off x="85725" y="9229725"/>
          <a:ext cx="4171950"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ca-ES" sz="1100"/>
        </a:p>
      </xdr:txBody>
    </xdr:sp>
    <xdr:clientData/>
  </xdr:twoCellAnchor>
  <xdr:twoCellAnchor>
    <xdr:from>
      <xdr:col>0</xdr:col>
      <xdr:colOff>60960</xdr:colOff>
      <xdr:row>16</xdr:row>
      <xdr:rowOff>68581</xdr:rowOff>
    </xdr:from>
    <xdr:to>
      <xdr:col>8</xdr:col>
      <xdr:colOff>281940</xdr:colOff>
      <xdr:row>26</xdr:row>
      <xdr:rowOff>167641</xdr:rowOff>
    </xdr:to>
    <mc:AlternateContent xmlns:mc="http://schemas.openxmlformats.org/markup-compatibility/2006" xmlns:a14="http://schemas.microsoft.com/office/drawing/2010/main">
      <mc:Choice Requires="a14">
        <xdr:sp macro="" textlink="">
          <xdr:nvSpPr>
            <xdr:cNvPr id="4" name="CuadroTexto 2">
              <a:extLst>
                <a:ext uri="{FF2B5EF4-FFF2-40B4-BE49-F238E27FC236}">
                  <a16:creationId xmlns:a16="http://schemas.microsoft.com/office/drawing/2014/main" id="{BBA9E67F-73D5-4B83-8168-188CD6DCE43F}"/>
                </a:ext>
              </a:extLst>
            </xdr:cNvPr>
            <xdr:cNvSpPr txBox="1"/>
          </xdr:nvSpPr>
          <xdr:spPr>
            <a:xfrm>
              <a:off x="60960" y="3002281"/>
              <a:ext cx="6339840" cy="2004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PM (sal de Mohr) = 392.14 g/mol</a:t>
              </a:r>
            </a:p>
            <a:p>
              <a:r>
                <a:rPr lang="ca-ES" sz="1100"/>
                <a:t>PA</a:t>
              </a:r>
              <a:r>
                <a:rPr lang="ca-ES" sz="1100" baseline="0"/>
                <a:t> (Fe) = 55.845 g/ mol</a:t>
              </a:r>
            </a:p>
            <a:p>
              <a:endParaRPr lang="ca-ES" sz="1100" baseline="0"/>
            </a:p>
            <a:p>
              <a:pPr/>
              <a14:m>
                <m:oMathPara xmlns:m="http://schemas.openxmlformats.org/officeDocument/2006/math">
                  <m:oMathParaPr>
                    <m:jc m:val="centerGroup"/>
                  </m:oMathParaPr>
                  <m:oMath xmlns:m="http://schemas.openxmlformats.org/officeDocument/2006/math">
                    <m:r>
                      <a:rPr lang="ca-ES" sz="1100" b="0" i="1" baseline="0">
                        <a:latin typeface="Cambria Math" panose="02040503050406030204" pitchFamily="18" charset="0"/>
                      </a:rPr>
                      <m:t>140.7 </m:t>
                    </m:r>
                    <m:r>
                      <a:rPr lang="ca-ES" sz="1100" b="0" i="1" baseline="0">
                        <a:solidFill>
                          <a:schemeClr val="accent1"/>
                        </a:solidFill>
                        <a:latin typeface="Cambria Math" panose="02040503050406030204" pitchFamily="18" charset="0"/>
                      </a:rPr>
                      <m:t>𝑚𝑔</m:t>
                    </m:r>
                    <m:r>
                      <a:rPr lang="ca-ES" sz="1100" b="0" i="1" baseline="0">
                        <a:latin typeface="Cambria Math" panose="02040503050406030204" pitchFamily="18" charset="0"/>
                      </a:rPr>
                      <m:t> </m:t>
                    </m:r>
                    <m:r>
                      <a:rPr lang="ca-ES" sz="1100" b="0" i="1" baseline="0">
                        <a:latin typeface="Cambria Math" panose="02040503050406030204" pitchFamily="18" charset="0"/>
                      </a:rPr>
                      <m:t>𝑠𝑎𝑙</m:t>
                    </m:r>
                    <m:r>
                      <a:rPr lang="ca-ES" sz="1100" b="0" i="1" baseline="0">
                        <a:latin typeface="Cambria Math" panose="02040503050406030204" pitchFamily="18" charset="0"/>
                      </a:rPr>
                      <m:t> </m:t>
                    </m:r>
                    <m:r>
                      <a:rPr lang="ca-ES" sz="1100" b="0" i="1" baseline="0">
                        <a:latin typeface="Cambria Math" panose="02040503050406030204" pitchFamily="18" charset="0"/>
                      </a:rPr>
                      <m:t>𝑑𝑒</m:t>
                    </m:r>
                    <m:r>
                      <a:rPr lang="ca-ES" sz="1100" b="0" i="1" baseline="0">
                        <a:latin typeface="Cambria Math" panose="02040503050406030204" pitchFamily="18" charset="0"/>
                      </a:rPr>
                      <m:t> </m:t>
                    </m:r>
                    <m:r>
                      <a:rPr lang="ca-ES" sz="1100" b="0" i="1" baseline="0">
                        <a:latin typeface="Cambria Math" panose="02040503050406030204" pitchFamily="18" charset="0"/>
                      </a:rPr>
                      <m:t>𝑀𝑜h𝑟</m:t>
                    </m:r>
                    <m:r>
                      <a:rPr lang="ca-ES" sz="1100" b="0" i="1" baseline="0">
                        <a:latin typeface="Cambria Math" panose="02040503050406030204" pitchFamily="18" charset="0"/>
                      </a:rPr>
                      <m:t>·</m:t>
                    </m:r>
                    <m:f>
                      <m:fPr>
                        <m:ctrlPr>
                          <a:rPr lang="ca-ES" sz="1100" b="0" i="1" baseline="0">
                            <a:latin typeface="Cambria Math" panose="02040503050406030204" pitchFamily="18" charset="0"/>
                          </a:rPr>
                        </m:ctrlPr>
                      </m:fPr>
                      <m:num>
                        <m:r>
                          <a:rPr lang="ca-ES" sz="1100" b="0" i="1" baseline="0">
                            <a:latin typeface="Cambria Math" panose="02040503050406030204" pitchFamily="18" charset="0"/>
                          </a:rPr>
                          <m:t>1 </m:t>
                        </m:r>
                        <m:r>
                          <a:rPr lang="ca-ES" sz="1100" b="0" i="1" baseline="0">
                            <a:latin typeface="Cambria Math" panose="02040503050406030204" pitchFamily="18" charset="0"/>
                          </a:rPr>
                          <m:t>𝑚𝑜𝑙</m:t>
                        </m:r>
                        <m:r>
                          <a:rPr lang="ca-ES" sz="1100" b="0" i="1" baseline="0">
                            <a:latin typeface="Cambria Math" panose="02040503050406030204" pitchFamily="18" charset="0"/>
                          </a:rPr>
                          <m:t> </m:t>
                        </m:r>
                        <m:r>
                          <a:rPr lang="ca-ES" sz="1100" b="0" i="1" baseline="0">
                            <a:latin typeface="Cambria Math" panose="02040503050406030204" pitchFamily="18" charset="0"/>
                          </a:rPr>
                          <m:t>𝑠𝑎𝑙</m:t>
                        </m:r>
                      </m:num>
                      <m:den>
                        <m:r>
                          <a:rPr lang="ca-ES" sz="1100" b="0" i="1" baseline="0">
                            <a:latin typeface="Cambria Math" panose="02040503050406030204" pitchFamily="18" charset="0"/>
                          </a:rPr>
                          <m:t>392.14 </m:t>
                        </m:r>
                        <m:r>
                          <a:rPr lang="ca-ES" sz="1100" b="0" i="1" baseline="0">
                            <a:latin typeface="Cambria Math" panose="02040503050406030204" pitchFamily="18" charset="0"/>
                          </a:rPr>
                          <m:t>𝑔</m:t>
                        </m:r>
                        <m:r>
                          <a:rPr lang="ca-ES" sz="1100" b="0" i="1" baseline="0">
                            <a:latin typeface="Cambria Math" panose="02040503050406030204" pitchFamily="18" charset="0"/>
                          </a:rPr>
                          <m:t> </m:t>
                        </m:r>
                        <m:r>
                          <a:rPr lang="ca-ES" sz="1100" b="0" i="1" baseline="0">
                            <a:latin typeface="Cambria Math" panose="02040503050406030204" pitchFamily="18" charset="0"/>
                          </a:rPr>
                          <m:t>𝑠𝑎𝑙</m:t>
                        </m:r>
                      </m:den>
                    </m:f>
                    <m:r>
                      <a:rPr lang="ca-ES" sz="1100" b="0" i="1" baseline="0">
                        <a:latin typeface="Cambria Math" panose="02040503050406030204" pitchFamily="18" charset="0"/>
                      </a:rPr>
                      <m:t>·</m:t>
                    </m:r>
                    <m:f>
                      <m:fPr>
                        <m:ctrlPr>
                          <a:rPr lang="ca-ES" sz="1100" b="0" i="1" baseline="0">
                            <a:latin typeface="Cambria Math" panose="02040503050406030204" pitchFamily="18" charset="0"/>
                          </a:rPr>
                        </m:ctrlPr>
                      </m:fPr>
                      <m:num>
                        <m:r>
                          <a:rPr lang="ca-ES" sz="1100" b="0" i="1" baseline="0">
                            <a:latin typeface="Cambria Math" panose="02040503050406030204" pitchFamily="18" charset="0"/>
                          </a:rPr>
                          <m:t>1 </m:t>
                        </m:r>
                        <m:r>
                          <a:rPr lang="ca-ES" sz="1100" b="0" i="1" baseline="0">
                            <a:latin typeface="Cambria Math" panose="02040503050406030204" pitchFamily="18" charset="0"/>
                          </a:rPr>
                          <m:t>𝑚𝑜𝑙</m:t>
                        </m:r>
                        <m:r>
                          <a:rPr lang="ca-ES" sz="1100" b="0" i="1" baseline="0">
                            <a:latin typeface="Cambria Math" panose="02040503050406030204" pitchFamily="18" charset="0"/>
                          </a:rPr>
                          <m:t> </m:t>
                        </m:r>
                        <m:r>
                          <a:rPr lang="ca-ES" sz="1100" b="0" i="1" baseline="0">
                            <a:latin typeface="Cambria Math" panose="02040503050406030204" pitchFamily="18" charset="0"/>
                          </a:rPr>
                          <m:t>𝐹</m:t>
                        </m:r>
                        <m:sSup>
                          <m:sSupPr>
                            <m:ctrlPr>
                              <a:rPr lang="ca-ES" sz="1100" b="0" i="1" baseline="0">
                                <a:latin typeface="Cambria Math" panose="02040503050406030204" pitchFamily="18" charset="0"/>
                              </a:rPr>
                            </m:ctrlPr>
                          </m:sSupPr>
                          <m:e>
                            <m:r>
                              <a:rPr lang="ca-ES" sz="1100" b="0" i="1" baseline="0">
                                <a:latin typeface="Cambria Math" panose="02040503050406030204" pitchFamily="18" charset="0"/>
                              </a:rPr>
                              <m:t>𝑒</m:t>
                            </m:r>
                          </m:e>
                          <m:sup>
                            <m:r>
                              <a:rPr lang="ca-ES" sz="1100" b="0" i="1" baseline="0">
                                <a:latin typeface="Cambria Math" panose="02040503050406030204" pitchFamily="18" charset="0"/>
                              </a:rPr>
                              <m:t>2+</m:t>
                            </m:r>
                          </m:sup>
                        </m:sSup>
                      </m:num>
                      <m:den>
                        <m:r>
                          <a:rPr lang="ca-ES" sz="1100" b="0" i="1" baseline="0">
                            <a:latin typeface="Cambria Math" panose="02040503050406030204" pitchFamily="18" charset="0"/>
                          </a:rPr>
                          <m:t>1 </m:t>
                        </m:r>
                        <m:r>
                          <a:rPr lang="ca-ES" sz="1100" b="0" i="1" baseline="0">
                            <a:latin typeface="Cambria Math" panose="02040503050406030204" pitchFamily="18" charset="0"/>
                          </a:rPr>
                          <m:t>𝑚𝑜𝑙</m:t>
                        </m:r>
                        <m:r>
                          <a:rPr lang="ca-ES" sz="1100" b="0" i="1" baseline="0">
                            <a:latin typeface="Cambria Math" panose="02040503050406030204" pitchFamily="18" charset="0"/>
                          </a:rPr>
                          <m:t> </m:t>
                        </m:r>
                        <m:r>
                          <a:rPr lang="ca-ES" sz="1100" b="0" i="1" baseline="0">
                            <a:latin typeface="Cambria Math" panose="02040503050406030204" pitchFamily="18" charset="0"/>
                          </a:rPr>
                          <m:t>𝑠𝑎𝑙</m:t>
                        </m:r>
                      </m:den>
                    </m:f>
                    <m:r>
                      <a:rPr lang="ca-ES" sz="1100" b="0" i="1" baseline="0">
                        <a:latin typeface="Cambria Math" panose="02040503050406030204" pitchFamily="18" charset="0"/>
                      </a:rPr>
                      <m:t>·</m:t>
                    </m:r>
                    <m:f>
                      <m:fPr>
                        <m:ctrlPr>
                          <a:rPr lang="ca-ES" sz="1100" b="0" i="1" baseline="0">
                            <a:latin typeface="Cambria Math" panose="02040503050406030204" pitchFamily="18" charset="0"/>
                          </a:rPr>
                        </m:ctrlPr>
                      </m:fPr>
                      <m:num>
                        <m:r>
                          <a:rPr lang="ca-ES" sz="1100" b="0" i="1" baseline="0">
                            <a:latin typeface="Cambria Math" panose="02040503050406030204" pitchFamily="18" charset="0"/>
                          </a:rPr>
                          <m:t>55.845 </m:t>
                        </m:r>
                        <m:r>
                          <a:rPr lang="ca-ES" sz="1100" b="0" i="1" baseline="0">
                            <a:latin typeface="Cambria Math" panose="02040503050406030204" pitchFamily="18" charset="0"/>
                          </a:rPr>
                          <m:t>𝑔</m:t>
                        </m:r>
                        <m:r>
                          <a:rPr lang="ca-ES" sz="1100" b="0" i="1" baseline="0">
                            <a:latin typeface="Cambria Math" panose="02040503050406030204" pitchFamily="18" charset="0"/>
                          </a:rPr>
                          <m:t> </m:t>
                        </m:r>
                        <m:r>
                          <a:rPr lang="ca-ES" sz="1100" b="0" i="1" baseline="0">
                            <a:solidFill>
                              <a:schemeClr val="accent1"/>
                            </a:solidFill>
                            <a:latin typeface="Cambria Math" panose="02040503050406030204" pitchFamily="18" charset="0"/>
                          </a:rPr>
                          <m:t>𝐹</m:t>
                        </m:r>
                        <m:sSup>
                          <m:sSupPr>
                            <m:ctrlPr>
                              <a:rPr lang="ca-ES" sz="1100" b="0" i="1" baseline="0">
                                <a:solidFill>
                                  <a:schemeClr val="accent1"/>
                                </a:solidFill>
                                <a:latin typeface="Cambria Math" panose="02040503050406030204" pitchFamily="18" charset="0"/>
                              </a:rPr>
                            </m:ctrlPr>
                          </m:sSupPr>
                          <m:e>
                            <m:r>
                              <a:rPr lang="ca-ES" sz="1100" b="0" i="1" baseline="0">
                                <a:solidFill>
                                  <a:schemeClr val="accent1"/>
                                </a:solidFill>
                                <a:latin typeface="Cambria Math" panose="02040503050406030204" pitchFamily="18" charset="0"/>
                              </a:rPr>
                              <m:t>𝑒</m:t>
                            </m:r>
                          </m:e>
                          <m:sup>
                            <m:r>
                              <a:rPr lang="ca-ES" sz="1100" b="0" i="1" baseline="0">
                                <a:solidFill>
                                  <a:schemeClr val="accent1"/>
                                </a:solidFill>
                                <a:latin typeface="Cambria Math" panose="02040503050406030204" pitchFamily="18" charset="0"/>
                              </a:rPr>
                              <m:t>2+</m:t>
                            </m:r>
                          </m:sup>
                        </m:sSup>
                      </m:num>
                      <m:den>
                        <m:r>
                          <a:rPr lang="ca-ES" sz="1100" b="0" i="1" baseline="0">
                            <a:latin typeface="Cambria Math" panose="02040503050406030204" pitchFamily="18" charset="0"/>
                          </a:rPr>
                          <m:t>1 </m:t>
                        </m:r>
                        <m:r>
                          <a:rPr lang="ca-ES" sz="1100" b="0" i="1" baseline="0">
                            <a:latin typeface="Cambria Math" panose="02040503050406030204" pitchFamily="18" charset="0"/>
                          </a:rPr>
                          <m:t>𝑚𝑜𝑙</m:t>
                        </m:r>
                        <m:r>
                          <a:rPr lang="ca-ES" sz="1100" b="0" i="1" baseline="0">
                            <a:latin typeface="Cambria Math" panose="02040503050406030204" pitchFamily="18" charset="0"/>
                          </a:rPr>
                          <m:t> </m:t>
                        </m:r>
                        <m:r>
                          <a:rPr lang="ca-ES" sz="1100" b="0" i="1" baseline="0">
                            <a:latin typeface="Cambria Math" panose="02040503050406030204" pitchFamily="18" charset="0"/>
                          </a:rPr>
                          <m:t>𝐹</m:t>
                        </m:r>
                        <m:sSup>
                          <m:sSupPr>
                            <m:ctrlPr>
                              <a:rPr lang="ca-ES" sz="1100" b="0" i="1" baseline="0">
                                <a:latin typeface="Cambria Math" panose="02040503050406030204" pitchFamily="18" charset="0"/>
                              </a:rPr>
                            </m:ctrlPr>
                          </m:sSupPr>
                          <m:e>
                            <m:r>
                              <a:rPr lang="ca-ES" sz="1100" b="0" i="1" baseline="0">
                                <a:latin typeface="Cambria Math" panose="02040503050406030204" pitchFamily="18" charset="0"/>
                              </a:rPr>
                              <m:t>𝑒</m:t>
                            </m:r>
                          </m:e>
                          <m:sup>
                            <m:r>
                              <a:rPr lang="ca-ES" sz="1100" b="0" i="1" baseline="0">
                                <a:latin typeface="Cambria Math" panose="02040503050406030204" pitchFamily="18" charset="0"/>
                              </a:rPr>
                              <m:t>2+</m:t>
                            </m:r>
                          </m:sup>
                        </m:sSup>
                        <m:r>
                          <a:rPr lang="ca-ES" sz="1100" b="0" i="1" baseline="0">
                            <a:latin typeface="Cambria Math" panose="02040503050406030204" pitchFamily="18" charset="0"/>
                          </a:rPr>
                          <m:t> </m:t>
                        </m:r>
                      </m:den>
                    </m:f>
                    <m:r>
                      <a:rPr lang="ca-ES" sz="1100" b="0" i="1" baseline="0">
                        <a:latin typeface="Cambria Math" panose="02040503050406030204" pitchFamily="18" charset="0"/>
                      </a:rPr>
                      <m:t>=</m:t>
                    </m:r>
                    <m:r>
                      <a:rPr lang="es-ES" sz="1100" b="0" i="1" baseline="0">
                        <a:latin typeface="Cambria Math" panose="02040503050406030204" pitchFamily="18" charset="0"/>
                      </a:rPr>
                      <m:t>20.0372</m:t>
                    </m:r>
                    <m:r>
                      <a:rPr lang="ca-ES" sz="1100" b="0" i="1" baseline="0">
                        <a:latin typeface="Cambria Math" panose="02040503050406030204" pitchFamily="18" charset="0"/>
                      </a:rPr>
                      <m:t> </m:t>
                    </m:r>
                    <m:r>
                      <a:rPr lang="ca-ES" sz="1100" b="0" i="1" baseline="0">
                        <a:latin typeface="Cambria Math" panose="02040503050406030204" pitchFamily="18" charset="0"/>
                      </a:rPr>
                      <m:t>𝑚𝑔</m:t>
                    </m:r>
                    <m:r>
                      <a:rPr lang="es-ES" sz="1100" b="0" i="1" baseline="0">
                        <a:latin typeface="Cambria Math" panose="02040503050406030204" pitchFamily="18" charset="0"/>
                      </a:rPr>
                      <m:t> </m:t>
                    </m:r>
                    <m:r>
                      <a:rPr lang="es-ES" sz="1100" b="0" i="1" baseline="0">
                        <a:latin typeface="Cambria Math" panose="02040503050406030204" pitchFamily="18" charset="0"/>
                      </a:rPr>
                      <m:t>𝐹</m:t>
                    </m:r>
                    <m:sSup>
                      <m:sSupPr>
                        <m:ctrlPr>
                          <a:rPr lang="es-ES" sz="1100" b="0" i="1" baseline="0">
                            <a:latin typeface="Cambria Math" panose="02040503050406030204" pitchFamily="18" charset="0"/>
                          </a:rPr>
                        </m:ctrlPr>
                      </m:sSupPr>
                      <m:e>
                        <m:r>
                          <a:rPr lang="es-ES" sz="1100" b="0" i="1" baseline="0">
                            <a:latin typeface="Cambria Math" panose="02040503050406030204" pitchFamily="18" charset="0"/>
                          </a:rPr>
                          <m:t>𝑒</m:t>
                        </m:r>
                      </m:e>
                      <m:sup>
                        <m:r>
                          <a:rPr lang="es-ES" sz="1100" b="0" i="1" baseline="0">
                            <a:latin typeface="Cambria Math" panose="02040503050406030204" pitchFamily="18" charset="0"/>
                          </a:rPr>
                          <m:t>2+</m:t>
                        </m:r>
                      </m:sup>
                    </m:sSup>
                  </m:oMath>
                </m:oMathPara>
              </a14:m>
              <a:endParaRPr lang="ca-ES" sz="1100" baseline="0"/>
            </a:p>
            <a:p>
              <a:endParaRPr lang="es-ES" sz="1100" b="0" i="1" baseline="0">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f>
                      <m:fPr>
                        <m:ctrlPr>
                          <a:rPr lang="es-ES" sz="1100" b="0" i="1" baseline="0">
                            <a:latin typeface="Cambria Math" panose="02040503050406030204" pitchFamily="18" charset="0"/>
                          </a:rPr>
                        </m:ctrlPr>
                      </m:fPr>
                      <m:num>
                        <m:r>
                          <a:rPr lang="es-ES" sz="1100" b="0" i="1" baseline="0">
                            <a:solidFill>
                              <a:schemeClr val="dk1"/>
                            </a:solidFill>
                            <a:effectLst/>
                            <a:latin typeface="Cambria Math" panose="02040503050406030204" pitchFamily="18" charset="0"/>
                            <a:ea typeface="+mn-ea"/>
                            <a:cs typeface="+mn-cs"/>
                          </a:rPr>
                          <m:t>0.04007 </m:t>
                        </m:r>
                        <m:r>
                          <a:rPr lang="es-ES" sz="1100" b="0" i="1" baseline="0">
                            <a:solidFill>
                              <a:schemeClr val="dk1"/>
                            </a:solidFill>
                            <a:effectLst/>
                            <a:latin typeface="Cambria Math" panose="02040503050406030204" pitchFamily="18" charset="0"/>
                            <a:ea typeface="+mn-ea"/>
                            <a:cs typeface="+mn-cs"/>
                          </a:rPr>
                          <m:t>𝑚𝑔</m:t>
                        </m:r>
                        <m:r>
                          <a:rPr lang="es-ES" sz="1100" b="0" i="1" baseline="0">
                            <a:solidFill>
                              <a:schemeClr val="dk1"/>
                            </a:solidFill>
                            <a:effectLst/>
                            <a:latin typeface="Cambria Math" panose="02040503050406030204" pitchFamily="18" charset="0"/>
                            <a:ea typeface="+mn-ea"/>
                            <a:cs typeface="+mn-cs"/>
                          </a:rPr>
                          <m:t> </m:t>
                        </m:r>
                        <m:r>
                          <a:rPr lang="es-ES" sz="1100" b="0" i="1" baseline="0">
                            <a:latin typeface="Cambria Math" panose="02040503050406030204" pitchFamily="18" charset="0"/>
                          </a:rPr>
                          <m:t>𝐹</m:t>
                        </m:r>
                        <m:sSup>
                          <m:sSupPr>
                            <m:ctrlPr>
                              <a:rPr lang="es-ES" sz="1100" b="0" i="1" baseline="0">
                                <a:latin typeface="Cambria Math" panose="02040503050406030204" pitchFamily="18" charset="0"/>
                              </a:rPr>
                            </m:ctrlPr>
                          </m:sSupPr>
                          <m:e>
                            <m:r>
                              <a:rPr lang="es-ES" sz="1100" b="0" i="1" baseline="0">
                                <a:latin typeface="Cambria Math" panose="02040503050406030204" pitchFamily="18" charset="0"/>
                              </a:rPr>
                              <m:t>𝑒</m:t>
                            </m:r>
                          </m:e>
                          <m:sup>
                            <m:r>
                              <a:rPr lang="es-ES" sz="1100" b="0" i="1" baseline="0">
                                <a:latin typeface="Cambria Math" panose="02040503050406030204" pitchFamily="18" charset="0"/>
                              </a:rPr>
                              <m:t>2+</m:t>
                            </m:r>
                          </m:sup>
                        </m:sSup>
                      </m:num>
                      <m:den>
                        <m:r>
                          <a:rPr lang="es-ES" sz="1100" b="0" i="1" baseline="0">
                            <a:latin typeface="Cambria Math" panose="02040503050406030204" pitchFamily="18" charset="0"/>
                          </a:rPr>
                          <m:t>500.0 </m:t>
                        </m:r>
                        <m:r>
                          <a:rPr lang="es-ES" sz="1100" b="0" i="1" baseline="0">
                            <a:latin typeface="Cambria Math" panose="02040503050406030204" pitchFamily="18" charset="0"/>
                          </a:rPr>
                          <m:t>𝑚𝐿</m:t>
                        </m:r>
                      </m:den>
                    </m:f>
                    <m:r>
                      <a:rPr lang="es-ES" sz="1100" b="0" i="1" baseline="0">
                        <a:latin typeface="Cambria Math" panose="02040503050406030204" pitchFamily="18" charset="0"/>
                      </a:rPr>
                      <m:t>=</m:t>
                    </m:r>
                    <m:r>
                      <a:rPr lang="es-ES" sz="1100" b="1" i="1" baseline="0">
                        <a:latin typeface="Cambria Math" panose="02040503050406030204" pitchFamily="18" charset="0"/>
                      </a:rPr>
                      <m:t>𝟎</m:t>
                    </m:r>
                    <m:r>
                      <a:rPr lang="es-ES" sz="1100" b="1" i="1" baseline="0">
                        <a:latin typeface="Cambria Math" panose="02040503050406030204" pitchFamily="18" charset="0"/>
                      </a:rPr>
                      <m:t>.</m:t>
                    </m:r>
                    <m:r>
                      <a:rPr lang="es-ES" sz="1100" b="1" i="1" baseline="0">
                        <a:latin typeface="Cambria Math" panose="02040503050406030204" pitchFamily="18" charset="0"/>
                      </a:rPr>
                      <m:t>𝟎𝟒𝟎𝟎𝟕</m:t>
                    </m:r>
                    <m:r>
                      <a:rPr lang="es-ES" sz="1100" b="1" i="1" baseline="0">
                        <a:latin typeface="Cambria Math" panose="02040503050406030204" pitchFamily="18" charset="0"/>
                      </a:rPr>
                      <m:t> </m:t>
                    </m:r>
                    <m:r>
                      <a:rPr lang="es-ES" sz="1100" b="1" i="1" baseline="0">
                        <a:latin typeface="Cambria Math" panose="02040503050406030204" pitchFamily="18" charset="0"/>
                      </a:rPr>
                      <m:t>𝒎𝒈</m:t>
                    </m:r>
                    <m:r>
                      <a:rPr lang="es-ES" sz="1100" b="1" i="1" baseline="0">
                        <a:latin typeface="Cambria Math" panose="02040503050406030204" pitchFamily="18" charset="0"/>
                      </a:rPr>
                      <m:t> </m:t>
                    </m:r>
                    <m:r>
                      <a:rPr lang="es-ES" sz="1100" b="1" i="1" baseline="0">
                        <a:latin typeface="Cambria Math" panose="02040503050406030204" pitchFamily="18" charset="0"/>
                      </a:rPr>
                      <m:t>𝑭</m:t>
                    </m:r>
                    <m:sSup>
                      <m:sSupPr>
                        <m:ctrlPr>
                          <a:rPr lang="es-ES" sz="1100" b="1" i="1" baseline="0">
                            <a:latin typeface="Cambria Math" panose="02040503050406030204" pitchFamily="18" charset="0"/>
                          </a:rPr>
                        </m:ctrlPr>
                      </m:sSupPr>
                      <m:e>
                        <m:r>
                          <a:rPr lang="es-ES" sz="1100" b="1" i="1" baseline="0">
                            <a:latin typeface="Cambria Math" panose="02040503050406030204" pitchFamily="18" charset="0"/>
                          </a:rPr>
                          <m:t>𝒆</m:t>
                        </m:r>
                      </m:e>
                      <m:sup>
                        <m:r>
                          <a:rPr lang="es-ES" sz="1100" b="1" i="1" baseline="0">
                            <a:latin typeface="Cambria Math" panose="02040503050406030204" pitchFamily="18" charset="0"/>
                          </a:rPr>
                          <m:t>𝟐</m:t>
                        </m:r>
                        <m:r>
                          <a:rPr lang="es-ES" sz="1100" b="1" i="1" baseline="0">
                            <a:latin typeface="Cambria Math" panose="02040503050406030204" pitchFamily="18" charset="0"/>
                          </a:rPr>
                          <m:t>+</m:t>
                        </m:r>
                      </m:sup>
                    </m:sSup>
                    <m:r>
                      <a:rPr lang="es-ES" sz="1100" b="1" i="1" baseline="0">
                        <a:latin typeface="Cambria Math" panose="02040503050406030204" pitchFamily="18" charset="0"/>
                      </a:rPr>
                      <m:t>/</m:t>
                    </m:r>
                    <m:r>
                      <a:rPr lang="es-ES" sz="1100" b="1" i="1" baseline="0">
                        <a:latin typeface="Cambria Math" panose="02040503050406030204" pitchFamily="18" charset="0"/>
                      </a:rPr>
                      <m:t>𝒎𝑳</m:t>
                    </m:r>
                  </m:oMath>
                </m:oMathPara>
              </a14:m>
              <a:endParaRPr lang="ca-ES" sz="1100" b="1" baseline="0"/>
            </a:p>
          </xdr:txBody>
        </xdr:sp>
      </mc:Choice>
      <mc:Fallback xmlns="">
        <xdr:sp macro="" textlink="">
          <xdr:nvSpPr>
            <xdr:cNvPr id="4" name="CuadroTexto 2">
              <a:extLst>
                <a:ext uri="{FF2B5EF4-FFF2-40B4-BE49-F238E27FC236}">
                  <a16:creationId xmlns:a16="http://schemas.microsoft.com/office/drawing/2014/main" id="{BBA9E67F-73D5-4B83-8168-188CD6DCE43F}"/>
                </a:ext>
              </a:extLst>
            </xdr:cNvPr>
            <xdr:cNvSpPr txBox="1"/>
          </xdr:nvSpPr>
          <xdr:spPr>
            <a:xfrm>
              <a:off x="60960" y="3002281"/>
              <a:ext cx="6339840" cy="2004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PM (sal de Mohr) = 392.14 g/mol</a:t>
              </a:r>
            </a:p>
            <a:p>
              <a:r>
                <a:rPr lang="ca-ES" sz="1100"/>
                <a:t>PA</a:t>
              </a:r>
              <a:r>
                <a:rPr lang="ca-ES" sz="1100" baseline="0"/>
                <a:t> (Fe) = 55.845 g/ mol</a:t>
              </a:r>
            </a:p>
            <a:p>
              <a:endParaRPr lang="ca-ES" sz="1100" baseline="0"/>
            </a:p>
            <a:p>
              <a:pPr/>
              <a:r>
                <a:rPr lang="ca-ES" sz="1100" b="0" i="0" baseline="0">
                  <a:latin typeface="Cambria Math" panose="02040503050406030204" pitchFamily="18" charset="0"/>
                </a:rPr>
                <a:t>140.7 </a:t>
              </a:r>
              <a:r>
                <a:rPr lang="ca-ES" sz="1100" b="0" i="0" baseline="0">
                  <a:solidFill>
                    <a:schemeClr val="accent1"/>
                  </a:solidFill>
                  <a:latin typeface="Cambria Math" panose="02040503050406030204" pitchFamily="18" charset="0"/>
                </a:rPr>
                <a:t>𝑚𝑔</a:t>
              </a:r>
              <a:r>
                <a:rPr lang="ca-ES" sz="1100" b="0" i="0" baseline="0">
                  <a:latin typeface="Cambria Math" panose="02040503050406030204" pitchFamily="18" charset="0"/>
                </a:rPr>
                <a:t> 𝑠𝑎𝑙 𝑑𝑒 𝑀𝑜ℎ𝑟·(1 𝑚𝑜𝑙 𝑠𝑎𝑙)/(392.14 𝑔 𝑠𝑎𝑙)·(1 𝑚𝑜𝑙 𝐹𝑒^(2+))/(1 𝑚𝑜𝑙 𝑠𝑎𝑙)·(55.845 𝑔 </a:t>
              </a:r>
              <a:r>
                <a:rPr lang="ca-ES" sz="1100" b="0" i="0" baseline="0">
                  <a:solidFill>
                    <a:schemeClr val="accent1"/>
                  </a:solidFill>
                  <a:latin typeface="Cambria Math" panose="02040503050406030204" pitchFamily="18" charset="0"/>
                </a:rPr>
                <a:t>𝐹𝑒^(2+))/(</a:t>
              </a:r>
              <a:r>
                <a:rPr lang="ca-ES" sz="1100" b="0" i="0" baseline="0">
                  <a:latin typeface="Cambria Math" panose="02040503050406030204" pitchFamily="18" charset="0"/>
                </a:rPr>
                <a:t>1 𝑚𝑜𝑙 𝐹𝑒^(2+)  )=</a:t>
              </a:r>
              <a:r>
                <a:rPr lang="es-ES" sz="1100" b="0" i="0" baseline="0">
                  <a:latin typeface="Cambria Math" panose="02040503050406030204" pitchFamily="18" charset="0"/>
                </a:rPr>
                <a:t>20.0372</a:t>
              </a:r>
              <a:r>
                <a:rPr lang="ca-ES" sz="1100" b="0" i="0" baseline="0">
                  <a:latin typeface="Cambria Math" panose="02040503050406030204" pitchFamily="18" charset="0"/>
                </a:rPr>
                <a:t> 𝑚𝑔</a:t>
              </a:r>
              <a:r>
                <a:rPr lang="es-ES" sz="1100" b="0" i="0" baseline="0">
                  <a:latin typeface="Cambria Math" panose="02040503050406030204" pitchFamily="18" charset="0"/>
                </a:rPr>
                <a:t> 𝐹𝑒^(2+)</a:t>
              </a:r>
              <a:endParaRPr lang="ca-ES" sz="1100" baseline="0"/>
            </a:p>
            <a:p>
              <a:endParaRPr lang="es-ES" sz="1100" b="0" i="1" baseline="0">
                <a:latin typeface="Cambria Math" panose="02040503050406030204" pitchFamily="18" charset="0"/>
              </a:endParaRPr>
            </a:p>
            <a:p>
              <a:pPr/>
              <a:r>
                <a:rPr lang="es-ES" sz="1100" b="0" i="0" baseline="0">
                  <a:latin typeface="Cambria Math" panose="02040503050406030204" pitchFamily="18" charset="0"/>
                </a:rPr>
                <a:t>(</a:t>
              </a:r>
              <a:r>
                <a:rPr lang="es-ES" sz="1100" b="0" i="0" baseline="0">
                  <a:solidFill>
                    <a:schemeClr val="dk1"/>
                  </a:solidFill>
                  <a:effectLst/>
                  <a:latin typeface="Cambria Math" panose="02040503050406030204" pitchFamily="18" charset="0"/>
                  <a:ea typeface="+mn-ea"/>
                  <a:cs typeface="+mn-cs"/>
                </a:rPr>
                <a:t>0.04007 𝑚𝑔 </a:t>
              </a:r>
              <a:r>
                <a:rPr lang="es-ES" sz="1100" b="0" i="0" baseline="0">
                  <a:latin typeface="Cambria Math" panose="02040503050406030204" pitchFamily="18" charset="0"/>
                </a:rPr>
                <a:t>𝐹𝑒^(2+))/(500.0 𝑚𝐿)=</a:t>
              </a:r>
              <a:r>
                <a:rPr lang="es-ES" sz="1100" b="1" i="0" baseline="0">
                  <a:latin typeface="Cambria Math" panose="02040503050406030204" pitchFamily="18" charset="0"/>
                </a:rPr>
                <a:t>𝟎.𝟎𝟒𝟎𝟎𝟕 𝒎𝒈 𝑭𝒆^(𝟐+)/𝒎𝑳</a:t>
              </a:r>
              <a:endParaRPr lang="ca-ES" sz="1100" b="1" baseline="0"/>
            </a:p>
          </xdr:txBody>
        </xdr:sp>
      </mc:Fallback>
    </mc:AlternateContent>
    <xdr:clientData/>
  </xdr:twoCellAnchor>
  <xdr:twoCellAnchor>
    <xdr:from>
      <xdr:col>0</xdr:col>
      <xdr:colOff>63500</xdr:colOff>
      <xdr:row>47</xdr:row>
      <xdr:rowOff>177800</xdr:rowOff>
    </xdr:from>
    <xdr:to>
      <xdr:col>5</xdr:col>
      <xdr:colOff>796925</xdr:colOff>
      <xdr:row>58</xdr:row>
      <xdr:rowOff>149225</xdr:rowOff>
    </xdr:to>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96D02B58-0412-FD42-B0E0-1858E30E4638}"/>
                </a:ext>
              </a:extLst>
            </xdr:cNvPr>
            <xdr:cNvSpPr txBox="1"/>
          </xdr:nvSpPr>
          <xdr:spPr>
            <a:xfrm>
              <a:off x="63500" y="9550400"/>
              <a:ext cx="4645025"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EXEMPLE DEL PRIMER PATRÓ (EL MÉS DILUÏT)</a:t>
              </a:r>
            </a:p>
            <a:p>
              <a:endParaRPr lang="ca-ES" sz="1100"/>
            </a:p>
            <a:p>
              <a:r>
                <a:rPr lang="ca-ES" sz="1100"/>
                <a:t>[Dissolució</a:t>
              </a:r>
              <a:r>
                <a:rPr lang="ca-ES" sz="1100" baseline="0"/>
                <a:t> treball Fe(II)</a:t>
              </a:r>
              <a:r>
                <a:rPr lang="ca-ES" sz="1100"/>
                <a:t>] = 0.020035 mg</a:t>
              </a:r>
              <a:r>
                <a:rPr lang="ca-ES" sz="1100" baseline="0"/>
                <a:t> Fe(II)/mL</a:t>
              </a:r>
              <a:endParaRPr lang="ca-ES" sz="1100" b="0" i="0" u="none" strike="noStrike" baseline="0">
                <a:solidFill>
                  <a:schemeClr val="dk1"/>
                </a:solidFill>
                <a:effectLst/>
                <a:latin typeface="+mn-lt"/>
                <a:ea typeface="+mn-ea"/>
                <a:cs typeface="+mn-cs"/>
              </a:endParaRPr>
            </a:p>
            <a:p>
              <a:r>
                <a:rPr lang="ca-ES" sz="1100" b="0" i="0" u="none" strike="noStrike" baseline="0">
                  <a:solidFill>
                    <a:schemeClr val="dk1"/>
                  </a:solidFill>
                  <a:effectLst/>
                  <a:latin typeface="+mn-lt"/>
                  <a:ea typeface="+mn-ea"/>
                  <a:cs typeface="+mn-cs"/>
                </a:rPr>
                <a:t>V_{agafat diss treball} = 1.0 mL (patró més diluït)</a:t>
              </a:r>
            </a:p>
            <a:p>
              <a:r>
                <a:rPr lang="ca-ES" sz="1100" b="0" i="0" u="none" strike="noStrike" baseline="0">
                  <a:solidFill>
                    <a:schemeClr val="dk1"/>
                  </a:solidFill>
                  <a:effectLst/>
                  <a:latin typeface="+mn-lt"/>
                  <a:ea typeface="+mn-ea"/>
                  <a:cs typeface="+mn-cs"/>
                </a:rPr>
                <a:t>V_{matràs aforat} = 25.0 mL</a:t>
              </a:r>
            </a:p>
            <a:p>
              <a:endParaRPr lang="ca-ES" sz="1100" b="0" i="0" u="none" strike="noStrike" baseline="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f>
                      <m:fPr>
                        <m:ctrlPr>
                          <a:rPr lang="es-ES" sz="1100" b="0" i="1" u="none" strike="noStrike" baseline="0">
                            <a:solidFill>
                              <a:schemeClr val="dk1"/>
                            </a:solidFill>
                            <a:effectLst/>
                            <a:latin typeface="Cambria Math" panose="02040503050406030204" pitchFamily="18" charset="0"/>
                            <a:ea typeface="+mn-ea"/>
                            <a:cs typeface="+mn-cs"/>
                          </a:rPr>
                        </m:ctrlPr>
                      </m:fPr>
                      <m:num>
                        <m:r>
                          <a:rPr lang="es-ES" sz="1100" b="0" i="1" u="none" strike="noStrike" baseline="0">
                            <a:solidFill>
                              <a:schemeClr val="dk1"/>
                            </a:solidFill>
                            <a:effectLst/>
                            <a:latin typeface="Cambria Math" panose="02040503050406030204" pitchFamily="18" charset="0"/>
                            <a:ea typeface="+mn-ea"/>
                            <a:cs typeface="+mn-cs"/>
                          </a:rPr>
                          <m:t>0.020035 </m:t>
                        </m:r>
                        <m:f>
                          <m:fPr>
                            <m:ctrlPr>
                              <a:rPr lang="es-ES" sz="1100" b="0" i="1" u="none" strike="noStrike" baseline="0">
                                <a:solidFill>
                                  <a:schemeClr val="dk1"/>
                                </a:solidFill>
                                <a:effectLst/>
                                <a:latin typeface="Cambria Math" panose="02040503050406030204" pitchFamily="18" charset="0"/>
                                <a:ea typeface="+mn-ea"/>
                                <a:cs typeface="+mn-cs"/>
                              </a:rPr>
                            </m:ctrlPr>
                          </m:fPr>
                          <m:num>
                            <m:r>
                              <a:rPr lang="es-ES" sz="1100" b="0" i="1" u="none" strike="noStrike" baseline="0">
                                <a:solidFill>
                                  <a:schemeClr val="dk1"/>
                                </a:solidFill>
                                <a:effectLst/>
                                <a:latin typeface="Cambria Math" panose="02040503050406030204" pitchFamily="18" charset="0"/>
                                <a:ea typeface="+mn-ea"/>
                                <a:cs typeface="+mn-cs"/>
                              </a:rPr>
                              <m:t>𝑚𝑔</m:t>
                            </m:r>
                            <m:r>
                              <a:rPr lang="es-ES" sz="1100" b="0" i="1" u="none" strike="noStrike" baseline="0">
                                <a:solidFill>
                                  <a:schemeClr val="dk1"/>
                                </a:solidFill>
                                <a:effectLst/>
                                <a:latin typeface="Cambria Math" panose="02040503050406030204" pitchFamily="18" charset="0"/>
                                <a:ea typeface="+mn-ea"/>
                                <a:cs typeface="+mn-cs"/>
                              </a:rPr>
                              <m:t> </m:t>
                            </m:r>
                            <m:r>
                              <a:rPr lang="es-ES" sz="1100" b="0" i="1" u="none" strike="noStrike" baseline="0">
                                <a:solidFill>
                                  <a:schemeClr val="dk1"/>
                                </a:solidFill>
                                <a:effectLst/>
                                <a:latin typeface="Cambria Math" panose="02040503050406030204" pitchFamily="18" charset="0"/>
                                <a:ea typeface="+mn-ea"/>
                                <a:cs typeface="+mn-cs"/>
                              </a:rPr>
                              <m:t>𝐹</m:t>
                            </m:r>
                            <m:sSup>
                              <m:sSupPr>
                                <m:ctrlPr>
                                  <a:rPr lang="es-ES" sz="1100" b="0" i="1" u="none" strike="noStrike" baseline="0">
                                    <a:solidFill>
                                      <a:schemeClr val="dk1"/>
                                    </a:solidFill>
                                    <a:effectLst/>
                                    <a:latin typeface="Cambria Math" panose="02040503050406030204" pitchFamily="18" charset="0"/>
                                    <a:ea typeface="+mn-ea"/>
                                    <a:cs typeface="+mn-cs"/>
                                  </a:rPr>
                                </m:ctrlPr>
                              </m:sSupPr>
                              <m:e>
                                <m:r>
                                  <a:rPr lang="es-ES" sz="1100" b="0" i="1" u="none" strike="noStrike" baseline="0">
                                    <a:solidFill>
                                      <a:schemeClr val="dk1"/>
                                    </a:solidFill>
                                    <a:effectLst/>
                                    <a:latin typeface="Cambria Math" panose="02040503050406030204" pitchFamily="18" charset="0"/>
                                    <a:ea typeface="+mn-ea"/>
                                    <a:cs typeface="+mn-cs"/>
                                  </a:rPr>
                                  <m:t>𝑒</m:t>
                                </m:r>
                              </m:e>
                              <m:sup>
                                <m:r>
                                  <a:rPr lang="es-ES" sz="1100" b="0" i="1" u="none" strike="noStrike" baseline="0">
                                    <a:solidFill>
                                      <a:schemeClr val="dk1"/>
                                    </a:solidFill>
                                    <a:effectLst/>
                                    <a:latin typeface="Cambria Math" panose="02040503050406030204" pitchFamily="18" charset="0"/>
                                    <a:ea typeface="+mn-ea"/>
                                    <a:cs typeface="+mn-cs"/>
                                  </a:rPr>
                                  <m:t>2+</m:t>
                                </m:r>
                              </m:sup>
                            </m:sSup>
                          </m:num>
                          <m:den>
                            <m:r>
                              <a:rPr lang="es-ES" sz="1100" b="0" i="1" u="none" strike="noStrike" baseline="0">
                                <a:solidFill>
                                  <a:schemeClr val="dk1"/>
                                </a:solidFill>
                                <a:effectLst/>
                                <a:latin typeface="Cambria Math" panose="02040503050406030204" pitchFamily="18" charset="0"/>
                                <a:ea typeface="+mn-ea"/>
                                <a:cs typeface="+mn-cs"/>
                              </a:rPr>
                              <m:t>𝑚𝐿</m:t>
                            </m:r>
                          </m:den>
                        </m:f>
                        <m:r>
                          <a:rPr lang="es-ES" sz="1100" b="0" i="1" u="none" strike="noStrike" baseline="0">
                            <a:solidFill>
                              <a:schemeClr val="dk1"/>
                            </a:solidFill>
                            <a:effectLst/>
                            <a:latin typeface="Cambria Math" panose="02040503050406030204" pitchFamily="18" charset="0"/>
                            <a:ea typeface="+mn-ea"/>
                            <a:cs typeface="+mn-cs"/>
                          </a:rPr>
                          <m:t>·1.0 </m:t>
                        </m:r>
                        <m:r>
                          <a:rPr lang="es-ES" sz="1100" b="0" i="1" u="none" strike="noStrike" baseline="0">
                            <a:solidFill>
                              <a:schemeClr val="dk1"/>
                            </a:solidFill>
                            <a:effectLst/>
                            <a:latin typeface="Cambria Math" panose="02040503050406030204" pitchFamily="18" charset="0"/>
                            <a:ea typeface="+mn-ea"/>
                            <a:cs typeface="+mn-cs"/>
                          </a:rPr>
                          <m:t>𝑚𝐿</m:t>
                        </m:r>
                      </m:num>
                      <m:den>
                        <m:r>
                          <a:rPr lang="es-ES" sz="1100" b="0" i="1" u="none" strike="noStrike" baseline="0">
                            <a:solidFill>
                              <a:schemeClr val="dk1"/>
                            </a:solidFill>
                            <a:effectLst/>
                            <a:latin typeface="Cambria Math" panose="02040503050406030204" pitchFamily="18" charset="0"/>
                            <a:ea typeface="+mn-ea"/>
                            <a:cs typeface="+mn-cs"/>
                          </a:rPr>
                          <m:t>25.0 </m:t>
                        </m:r>
                        <m:r>
                          <a:rPr lang="es-ES" sz="1100" b="0" i="1" u="none" strike="noStrike" baseline="0">
                            <a:solidFill>
                              <a:schemeClr val="dk1"/>
                            </a:solidFill>
                            <a:effectLst/>
                            <a:latin typeface="Cambria Math" panose="02040503050406030204" pitchFamily="18" charset="0"/>
                            <a:ea typeface="+mn-ea"/>
                            <a:cs typeface="+mn-cs"/>
                          </a:rPr>
                          <m:t>𝑚𝐿</m:t>
                        </m:r>
                      </m:den>
                    </m:f>
                    <m:r>
                      <a:rPr lang="es-ES" sz="1100" b="0" i="1" u="none" strike="noStrike" baseline="0">
                        <a:solidFill>
                          <a:schemeClr val="dk1"/>
                        </a:solidFill>
                        <a:effectLst/>
                        <a:latin typeface="Cambria Math" panose="02040503050406030204" pitchFamily="18" charset="0"/>
                        <a:ea typeface="+mn-ea"/>
                        <a:cs typeface="+mn-cs"/>
                      </a:rPr>
                      <m:t>=</m:t>
                    </m:r>
                    <m:r>
                      <a:rPr lang="es-ES" sz="1100" b="1" i="1" u="none" strike="noStrike" baseline="0">
                        <a:solidFill>
                          <a:schemeClr val="dk1"/>
                        </a:solidFill>
                        <a:effectLst/>
                        <a:latin typeface="Cambria Math" panose="02040503050406030204" pitchFamily="18" charset="0"/>
                        <a:ea typeface="+mn-ea"/>
                        <a:cs typeface="+mn-cs"/>
                      </a:rPr>
                      <m:t>𝟎</m:t>
                    </m:r>
                    <m:r>
                      <a:rPr lang="es-ES" sz="1100" b="1" i="1" u="none" strike="noStrike" baseline="0">
                        <a:solidFill>
                          <a:schemeClr val="dk1"/>
                        </a:solidFill>
                        <a:effectLst/>
                        <a:latin typeface="Cambria Math" panose="02040503050406030204" pitchFamily="18" charset="0"/>
                        <a:ea typeface="+mn-ea"/>
                        <a:cs typeface="+mn-cs"/>
                      </a:rPr>
                      <m:t>.</m:t>
                    </m:r>
                    <m:r>
                      <a:rPr lang="es-ES" sz="1100" b="1" i="1" u="none" strike="noStrike" baseline="0">
                        <a:solidFill>
                          <a:schemeClr val="dk1"/>
                        </a:solidFill>
                        <a:effectLst/>
                        <a:latin typeface="Cambria Math" panose="02040503050406030204" pitchFamily="18" charset="0"/>
                        <a:ea typeface="+mn-ea"/>
                        <a:cs typeface="+mn-cs"/>
                      </a:rPr>
                      <m:t>𝟎𝟎𝟎𝟖𝟎𝟏𝟒</m:t>
                    </m:r>
                    <m:r>
                      <a:rPr lang="es-ES" sz="1100" b="1" i="1" u="none" strike="noStrike" baseline="0">
                        <a:solidFill>
                          <a:schemeClr val="dk1"/>
                        </a:solidFill>
                        <a:effectLst/>
                        <a:latin typeface="Cambria Math" panose="02040503050406030204" pitchFamily="18" charset="0"/>
                        <a:ea typeface="+mn-ea"/>
                        <a:cs typeface="+mn-cs"/>
                      </a:rPr>
                      <m:t> </m:t>
                    </m:r>
                    <m:r>
                      <a:rPr lang="es-ES" sz="1100" b="1" i="1" u="none" strike="noStrike" baseline="0">
                        <a:solidFill>
                          <a:schemeClr val="dk1"/>
                        </a:solidFill>
                        <a:effectLst/>
                        <a:latin typeface="Cambria Math" panose="02040503050406030204" pitchFamily="18" charset="0"/>
                        <a:ea typeface="+mn-ea"/>
                        <a:cs typeface="+mn-cs"/>
                      </a:rPr>
                      <m:t>𝒎𝒈</m:t>
                    </m:r>
                    <m:r>
                      <a:rPr lang="es-ES" sz="1100" b="1" i="1" u="none" strike="noStrike" baseline="0">
                        <a:solidFill>
                          <a:schemeClr val="dk1"/>
                        </a:solidFill>
                        <a:effectLst/>
                        <a:latin typeface="Cambria Math" panose="02040503050406030204" pitchFamily="18" charset="0"/>
                        <a:ea typeface="+mn-ea"/>
                        <a:cs typeface="+mn-cs"/>
                      </a:rPr>
                      <m:t> </m:t>
                    </m:r>
                    <m:r>
                      <a:rPr lang="es-ES" sz="1100" b="1" i="1" u="none" strike="noStrike" baseline="0">
                        <a:solidFill>
                          <a:schemeClr val="dk1"/>
                        </a:solidFill>
                        <a:effectLst/>
                        <a:latin typeface="Cambria Math" panose="02040503050406030204" pitchFamily="18" charset="0"/>
                        <a:ea typeface="+mn-ea"/>
                        <a:cs typeface="+mn-cs"/>
                      </a:rPr>
                      <m:t>𝑭</m:t>
                    </m:r>
                    <m:sSup>
                      <m:sSupPr>
                        <m:ctrlPr>
                          <a:rPr lang="es-ES" sz="1100" b="1" i="1" u="none" strike="noStrike" baseline="0">
                            <a:solidFill>
                              <a:schemeClr val="dk1"/>
                            </a:solidFill>
                            <a:effectLst/>
                            <a:latin typeface="Cambria Math" panose="02040503050406030204" pitchFamily="18" charset="0"/>
                            <a:ea typeface="+mn-ea"/>
                            <a:cs typeface="+mn-cs"/>
                          </a:rPr>
                        </m:ctrlPr>
                      </m:sSupPr>
                      <m:e>
                        <m:r>
                          <a:rPr lang="es-ES" sz="1100" b="1" i="1" u="none" strike="noStrike" baseline="0">
                            <a:solidFill>
                              <a:schemeClr val="dk1"/>
                            </a:solidFill>
                            <a:effectLst/>
                            <a:latin typeface="Cambria Math" panose="02040503050406030204" pitchFamily="18" charset="0"/>
                            <a:ea typeface="+mn-ea"/>
                            <a:cs typeface="+mn-cs"/>
                          </a:rPr>
                          <m:t>𝒆</m:t>
                        </m:r>
                      </m:e>
                      <m:sup>
                        <m:r>
                          <a:rPr lang="es-ES" sz="1100" b="1" i="1" u="none" strike="noStrike" baseline="0">
                            <a:solidFill>
                              <a:schemeClr val="dk1"/>
                            </a:solidFill>
                            <a:effectLst/>
                            <a:latin typeface="Cambria Math" panose="02040503050406030204" pitchFamily="18" charset="0"/>
                            <a:ea typeface="+mn-ea"/>
                            <a:cs typeface="+mn-cs"/>
                          </a:rPr>
                          <m:t>𝟐</m:t>
                        </m:r>
                        <m:r>
                          <a:rPr lang="es-ES" sz="1100" b="1" i="1" u="none" strike="noStrike" baseline="0">
                            <a:solidFill>
                              <a:schemeClr val="dk1"/>
                            </a:solidFill>
                            <a:effectLst/>
                            <a:latin typeface="Cambria Math" panose="02040503050406030204" pitchFamily="18" charset="0"/>
                            <a:ea typeface="+mn-ea"/>
                            <a:cs typeface="+mn-cs"/>
                          </a:rPr>
                          <m:t>+</m:t>
                        </m:r>
                      </m:sup>
                    </m:sSup>
                    <m:r>
                      <a:rPr lang="es-ES" sz="1100" b="1" i="1" u="none" strike="noStrike" baseline="0">
                        <a:solidFill>
                          <a:schemeClr val="dk1"/>
                        </a:solidFill>
                        <a:effectLst/>
                        <a:latin typeface="Cambria Math" panose="02040503050406030204" pitchFamily="18" charset="0"/>
                        <a:ea typeface="+mn-ea"/>
                        <a:cs typeface="+mn-cs"/>
                      </a:rPr>
                      <m:t>/</m:t>
                    </m:r>
                    <m:r>
                      <a:rPr lang="es-ES" sz="1100" b="1" i="1" u="none" strike="noStrike" baseline="0">
                        <a:solidFill>
                          <a:schemeClr val="dk1"/>
                        </a:solidFill>
                        <a:effectLst/>
                        <a:latin typeface="Cambria Math" panose="02040503050406030204" pitchFamily="18" charset="0"/>
                        <a:ea typeface="+mn-ea"/>
                        <a:cs typeface="+mn-cs"/>
                      </a:rPr>
                      <m:t>𝒎𝑳</m:t>
                    </m:r>
                  </m:oMath>
                </m:oMathPara>
              </a14:m>
              <a:endParaRPr lang="ca-ES" sz="1100" b="1" i="0" u="none" strike="noStrike" baseline="0">
                <a:solidFill>
                  <a:schemeClr val="dk1"/>
                </a:solidFill>
                <a:effectLst/>
                <a:latin typeface="+mn-lt"/>
                <a:ea typeface="+mn-ea"/>
                <a:cs typeface="+mn-cs"/>
              </a:endParaRPr>
            </a:p>
          </xdr:txBody>
        </xdr:sp>
      </mc:Choice>
      <mc:Fallback xmlns="">
        <xdr:sp macro="" textlink="">
          <xdr:nvSpPr>
            <xdr:cNvPr id="5" name="CuadroTexto 4">
              <a:extLst>
                <a:ext uri="{FF2B5EF4-FFF2-40B4-BE49-F238E27FC236}">
                  <a16:creationId xmlns:a16="http://schemas.microsoft.com/office/drawing/2014/main" id="{96D02B58-0412-FD42-B0E0-1858E30E4638}"/>
                </a:ext>
              </a:extLst>
            </xdr:cNvPr>
            <xdr:cNvSpPr txBox="1"/>
          </xdr:nvSpPr>
          <xdr:spPr>
            <a:xfrm>
              <a:off x="63500" y="9550400"/>
              <a:ext cx="4645025"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EXEMPLE DEL PRIMER PATRÓ (EL MÉS DILUÏT)</a:t>
              </a:r>
            </a:p>
            <a:p>
              <a:endParaRPr lang="ca-ES" sz="1100"/>
            </a:p>
            <a:p>
              <a:r>
                <a:rPr lang="ca-ES" sz="1100"/>
                <a:t>[Dissolució</a:t>
              </a:r>
              <a:r>
                <a:rPr lang="ca-ES" sz="1100" baseline="0"/>
                <a:t> treball Fe(II)</a:t>
              </a:r>
              <a:r>
                <a:rPr lang="ca-ES" sz="1100"/>
                <a:t>] = 0.020035 mg</a:t>
              </a:r>
              <a:r>
                <a:rPr lang="ca-ES" sz="1100" baseline="0"/>
                <a:t> Fe(II)/mL</a:t>
              </a:r>
              <a:endParaRPr lang="ca-ES" sz="1100" b="0" i="0" u="none" strike="noStrike" baseline="0">
                <a:solidFill>
                  <a:schemeClr val="dk1"/>
                </a:solidFill>
                <a:effectLst/>
                <a:latin typeface="+mn-lt"/>
                <a:ea typeface="+mn-ea"/>
                <a:cs typeface="+mn-cs"/>
              </a:endParaRPr>
            </a:p>
            <a:p>
              <a:r>
                <a:rPr lang="ca-ES" sz="1100" b="0" i="0" u="none" strike="noStrike" baseline="0">
                  <a:solidFill>
                    <a:schemeClr val="dk1"/>
                  </a:solidFill>
                  <a:effectLst/>
                  <a:latin typeface="+mn-lt"/>
                  <a:ea typeface="+mn-ea"/>
                  <a:cs typeface="+mn-cs"/>
                </a:rPr>
                <a:t>V_{agafat diss treball} = 1.0 mL (patró més diluït)</a:t>
              </a:r>
            </a:p>
            <a:p>
              <a:r>
                <a:rPr lang="ca-ES" sz="1100" b="0" i="0" u="none" strike="noStrike" baseline="0">
                  <a:solidFill>
                    <a:schemeClr val="dk1"/>
                  </a:solidFill>
                  <a:effectLst/>
                  <a:latin typeface="+mn-lt"/>
                  <a:ea typeface="+mn-ea"/>
                  <a:cs typeface="+mn-cs"/>
                </a:rPr>
                <a:t>V_{matràs aforat} = 25.0 mL</a:t>
              </a:r>
            </a:p>
            <a:p>
              <a:endParaRPr lang="ca-ES" sz="1100" b="0" i="0" u="none" strike="noStrike" baseline="0">
                <a:solidFill>
                  <a:schemeClr val="dk1"/>
                </a:solidFill>
                <a:effectLst/>
                <a:latin typeface="+mn-lt"/>
                <a:ea typeface="+mn-ea"/>
                <a:cs typeface="+mn-cs"/>
              </a:endParaRPr>
            </a:p>
            <a:p>
              <a:pPr/>
              <a:r>
                <a:rPr lang="es-ES" sz="1100" b="0" i="0" u="none" strike="noStrike" baseline="0">
                  <a:solidFill>
                    <a:schemeClr val="dk1"/>
                  </a:solidFill>
                  <a:effectLst/>
                  <a:latin typeface="Cambria Math" panose="02040503050406030204" pitchFamily="18" charset="0"/>
                  <a:ea typeface="+mn-ea"/>
                  <a:cs typeface="+mn-cs"/>
                </a:rPr>
                <a:t>(0.020035 (𝑚𝑔 𝐹𝑒^(2+))/𝑚𝐿·1.0 𝑚𝐿)/(25.0 𝑚𝐿)=</a:t>
              </a:r>
              <a:r>
                <a:rPr lang="es-ES" sz="1100" b="1" i="0" u="none" strike="noStrike" baseline="0">
                  <a:solidFill>
                    <a:schemeClr val="dk1"/>
                  </a:solidFill>
                  <a:effectLst/>
                  <a:latin typeface="Cambria Math" panose="02040503050406030204" pitchFamily="18" charset="0"/>
                  <a:ea typeface="+mn-ea"/>
                  <a:cs typeface="+mn-cs"/>
                </a:rPr>
                <a:t>𝟎.𝟎𝟎𝟎𝟖𝟎𝟏𝟒 𝒎𝒈 𝑭𝒆^(𝟐+)/𝒎𝑳</a:t>
              </a:r>
              <a:endParaRPr lang="ca-ES" sz="1100" b="1" i="0" u="none" strike="noStrike" baseline="0">
                <a:solidFill>
                  <a:schemeClr val="dk1"/>
                </a:solidFill>
                <a:effectLst/>
                <a:latin typeface="+mn-lt"/>
                <a:ea typeface="+mn-ea"/>
                <a:cs typeface="+mn-cs"/>
              </a:endParaRPr>
            </a:p>
          </xdr:txBody>
        </xdr:sp>
      </mc:Fallback>
    </mc:AlternateContent>
    <xdr:clientData/>
  </xdr:twoCellAnchor>
  <xdr:twoCellAnchor>
    <xdr:from>
      <xdr:col>0</xdr:col>
      <xdr:colOff>190500</xdr:colOff>
      <xdr:row>72</xdr:row>
      <xdr:rowOff>203200</xdr:rowOff>
    </xdr:from>
    <xdr:to>
      <xdr:col>9</xdr:col>
      <xdr:colOff>571500</xdr:colOff>
      <xdr:row>85</xdr:row>
      <xdr:rowOff>76200</xdr:rowOff>
    </xdr:to>
    <xdr:graphicFrame macro="">
      <xdr:nvGraphicFramePr>
        <xdr:cNvPr id="31" name="Gráfico 6">
          <a:extLst>
            <a:ext uri="{FF2B5EF4-FFF2-40B4-BE49-F238E27FC236}">
              <a16:creationId xmlns:a16="http://schemas.microsoft.com/office/drawing/2014/main" id="{A71970F7-ECC5-BF08-102D-043123C16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622300</xdr:colOff>
      <xdr:row>88</xdr:row>
      <xdr:rowOff>88900</xdr:rowOff>
    </xdr:from>
    <xdr:to>
      <xdr:col>18</xdr:col>
      <xdr:colOff>50470</xdr:colOff>
      <xdr:row>96</xdr:row>
      <xdr:rowOff>56119</xdr:rowOff>
    </xdr:to>
    <xdr:pic>
      <xdr:nvPicPr>
        <xdr:cNvPr id="8" name="Picture 5">
          <a:extLst>
            <a:ext uri="{FF2B5EF4-FFF2-40B4-BE49-F238E27FC236}">
              <a16:creationId xmlns:a16="http://schemas.microsoft.com/office/drawing/2014/main" id="{7A7484C3-83DD-7D46-8F95-88B7F884DB4B}"/>
            </a:ext>
          </a:extLst>
        </xdr:cNvPr>
        <xdr:cNvPicPr>
          <a:picLocks noChangeAspect="1"/>
        </xdr:cNvPicPr>
      </xdr:nvPicPr>
      <xdr:blipFill>
        <a:blip xmlns:r="http://schemas.openxmlformats.org/officeDocument/2006/relationships" r:embed="rId2"/>
        <a:stretch>
          <a:fillRect/>
        </a:stretch>
      </xdr:blipFill>
      <xdr:spPr>
        <a:xfrm>
          <a:off x="12103100" y="19989800"/>
          <a:ext cx="4685970" cy="15547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11</xdr:row>
      <xdr:rowOff>0</xdr:rowOff>
    </xdr:from>
    <xdr:to>
      <xdr:col>11</xdr:col>
      <xdr:colOff>1565563</xdr:colOff>
      <xdr:row>21</xdr:row>
      <xdr:rowOff>161925</xdr:rowOff>
    </xdr:to>
    <mc:AlternateContent xmlns:mc="http://schemas.openxmlformats.org/markup-compatibility/2006" xmlns:a14="http://schemas.microsoft.com/office/drawing/2010/main">
      <mc:Choice Requires="a14">
        <xdr:sp macro="" textlink="">
          <xdr:nvSpPr>
            <xdr:cNvPr id="36" name="CuadroTexto 2">
              <a:extLst>
                <a:ext uri="{FF2B5EF4-FFF2-40B4-BE49-F238E27FC236}">
                  <a16:creationId xmlns:a16="http://schemas.microsoft.com/office/drawing/2014/main" id="{BBFA22E7-3A23-49BD-B84C-1FABBF8D7BB7}"/>
                </a:ext>
              </a:extLst>
            </xdr:cNvPr>
            <xdr:cNvSpPr txBox="1"/>
          </xdr:nvSpPr>
          <xdr:spPr>
            <a:xfrm>
              <a:off x="180109" y="5721927"/>
              <a:ext cx="12455236" cy="2101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lang="ca-ES" sz="1100" b="0" i="1">
                        <a:latin typeface="Cambria Math" panose="02040503050406030204" pitchFamily="18" charset="0"/>
                      </a:rPr>
                      <m:t>772.6 </m:t>
                    </m:r>
                    <m:r>
                      <a:rPr lang="ca-ES" sz="1100" b="1" i="1">
                        <a:latin typeface="Cambria Math" panose="02040503050406030204" pitchFamily="18" charset="0"/>
                      </a:rPr>
                      <m:t>𝒎𝒈</m:t>
                    </m:r>
                    <m:r>
                      <a:rPr lang="ca-ES" sz="1100" b="0" i="1">
                        <a:latin typeface="Cambria Math" panose="02040503050406030204" pitchFamily="18" charset="0"/>
                      </a:rPr>
                      <m:t> </m:t>
                    </m:r>
                    <m:r>
                      <a:rPr lang="ca-ES" sz="1100" b="0" i="1">
                        <a:latin typeface="Cambria Math" panose="02040503050406030204" pitchFamily="18" charset="0"/>
                      </a:rPr>
                      <m:t>𝑀𝑛𝑆</m:t>
                    </m:r>
                    <m:sSub>
                      <m:sSubPr>
                        <m:ctrlPr>
                          <a:rPr lang="ca-ES" sz="1100" b="0" i="1">
                            <a:latin typeface="Cambria Math" panose="02040503050406030204" pitchFamily="18" charset="0"/>
                          </a:rPr>
                        </m:ctrlPr>
                      </m:sSubPr>
                      <m:e>
                        <m:r>
                          <a:rPr lang="ca-ES" sz="1100" b="0" i="1">
                            <a:latin typeface="Cambria Math" panose="02040503050406030204" pitchFamily="18" charset="0"/>
                          </a:rPr>
                          <m:t>𝑂</m:t>
                        </m:r>
                      </m:e>
                      <m:sub>
                        <m:r>
                          <a:rPr lang="ca-ES" sz="1100" b="0" i="1">
                            <a:latin typeface="Cambria Math" panose="02040503050406030204" pitchFamily="18" charset="0"/>
                          </a:rPr>
                          <m:t>4</m:t>
                        </m:r>
                      </m:sub>
                    </m:sSub>
                    <m:r>
                      <a:rPr lang="ca-ES" sz="1100" b="0" i="1">
                        <a:latin typeface="Cambria Math" panose="02040503050406030204" pitchFamily="18" charset="0"/>
                      </a:rPr>
                      <m:t>·</m:t>
                    </m:r>
                    <m:f>
                      <m:fPr>
                        <m:ctrlPr>
                          <a:rPr lang="ca-ES" sz="1100" b="0" i="1">
                            <a:latin typeface="Cambria Math" panose="02040503050406030204" pitchFamily="18" charset="0"/>
                          </a:rPr>
                        </m:ctrlPr>
                      </m:fPr>
                      <m:num>
                        <m:r>
                          <a:rPr lang="ca-ES" sz="1100" b="0" i="1">
                            <a:latin typeface="Cambria Math" panose="02040503050406030204" pitchFamily="18" charset="0"/>
                          </a:rPr>
                          <m:t>1 </m:t>
                        </m:r>
                        <m:r>
                          <a:rPr lang="ca-ES" sz="1100" b="0" i="1">
                            <a:latin typeface="Cambria Math" panose="02040503050406030204" pitchFamily="18" charset="0"/>
                          </a:rPr>
                          <m:t>𝑚𝑜𝑙</m:t>
                        </m:r>
                        <m:r>
                          <a:rPr lang="ca-ES" sz="1100" b="0" i="1">
                            <a:latin typeface="Cambria Math" panose="02040503050406030204" pitchFamily="18" charset="0"/>
                          </a:rPr>
                          <m:t> </m:t>
                        </m:r>
                        <m:r>
                          <a:rPr lang="ca-ES" sz="1100" b="0" i="1">
                            <a:latin typeface="Cambria Math" panose="02040503050406030204" pitchFamily="18" charset="0"/>
                          </a:rPr>
                          <m:t>𝑀𝑛𝑆</m:t>
                        </m:r>
                        <m:sSub>
                          <m:sSubPr>
                            <m:ctrlPr>
                              <a:rPr lang="ca-ES" sz="1100" b="0" i="1">
                                <a:latin typeface="Cambria Math" panose="02040503050406030204" pitchFamily="18" charset="0"/>
                              </a:rPr>
                            </m:ctrlPr>
                          </m:sSubPr>
                          <m:e>
                            <m:r>
                              <a:rPr lang="ca-ES" sz="1100" b="0" i="1">
                                <a:latin typeface="Cambria Math" panose="02040503050406030204" pitchFamily="18" charset="0"/>
                              </a:rPr>
                              <m:t>𝑂</m:t>
                            </m:r>
                          </m:e>
                          <m:sub>
                            <m:r>
                              <a:rPr lang="ca-ES" sz="1100" b="0" i="1">
                                <a:latin typeface="Cambria Math" panose="02040503050406030204" pitchFamily="18" charset="0"/>
                              </a:rPr>
                              <m:t>4</m:t>
                            </m:r>
                          </m:sub>
                        </m:sSub>
                      </m:num>
                      <m:den>
                        <m:r>
                          <a:rPr lang="ca-ES" sz="1100" b="0" i="1">
                            <a:latin typeface="Cambria Math" panose="02040503050406030204" pitchFamily="18" charset="0"/>
                          </a:rPr>
                          <m:t>169.02 </m:t>
                        </m:r>
                        <m:r>
                          <a:rPr lang="ca-ES" sz="1100" b="0" i="1">
                            <a:latin typeface="Cambria Math" panose="02040503050406030204" pitchFamily="18" charset="0"/>
                          </a:rPr>
                          <m:t>𝑔</m:t>
                        </m:r>
                        <m:r>
                          <a:rPr lang="ca-ES" sz="1100" b="0" i="1">
                            <a:latin typeface="Cambria Math" panose="02040503050406030204" pitchFamily="18" charset="0"/>
                          </a:rPr>
                          <m:t> </m:t>
                        </m:r>
                        <m:r>
                          <a:rPr lang="ca-ES" sz="1100" b="0" i="1">
                            <a:latin typeface="Cambria Math" panose="02040503050406030204" pitchFamily="18" charset="0"/>
                          </a:rPr>
                          <m:t>𝑀𝑛𝑆</m:t>
                        </m:r>
                        <m:sSub>
                          <m:sSubPr>
                            <m:ctrlPr>
                              <a:rPr lang="ca-ES" sz="1100" b="0" i="1">
                                <a:latin typeface="Cambria Math" panose="02040503050406030204" pitchFamily="18" charset="0"/>
                              </a:rPr>
                            </m:ctrlPr>
                          </m:sSubPr>
                          <m:e>
                            <m:r>
                              <a:rPr lang="ca-ES" sz="1100" b="0" i="1">
                                <a:latin typeface="Cambria Math" panose="02040503050406030204" pitchFamily="18" charset="0"/>
                              </a:rPr>
                              <m:t>𝑂</m:t>
                            </m:r>
                          </m:e>
                          <m:sub>
                            <m:r>
                              <a:rPr lang="ca-ES" sz="1100" b="0" i="1">
                                <a:latin typeface="Cambria Math" panose="02040503050406030204" pitchFamily="18" charset="0"/>
                              </a:rPr>
                              <m:t>4</m:t>
                            </m:r>
                          </m:sub>
                        </m:sSub>
                      </m:den>
                    </m:f>
                    <m:r>
                      <a:rPr lang="ca-ES" sz="1100" b="0" i="1">
                        <a:latin typeface="Cambria Math" panose="02040503050406030204" pitchFamily="18" charset="0"/>
                      </a:rPr>
                      <m:t>·</m:t>
                    </m:r>
                    <m:f>
                      <m:fPr>
                        <m:ctrlPr>
                          <a:rPr lang="ca-ES" sz="1100" b="0" i="1">
                            <a:latin typeface="Cambria Math" panose="02040503050406030204" pitchFamily="18" charset="0"/>
                          </a:rPr>
                        </m:ctrlPr>
                      </m:fPr>
                      <m:num>
                        <m:r>
                          <a:rPr lang="ca-ES" sz="1100" b="0" i="1">
                            <a:latin typeface="Cambria Math" panose="02040503050406030204" pitchFamily="18" charset="0"/>
                          </a:rPr>
                          <m:t>1 </m:t>
                        </m:r>
                        <m:r>
                          <a:rPr lang="ca-ES" sz="1100" b="0" i="1">
                            <a:latin typeface="Cambria Math" panose="02040503050406030204" pitchFamily="18" charset="0"/>
                          </a:rPr>
                          <m:t>𝑚𝑜𝑙</m:t>
                        </m:r>
                        <m:r>
                          <a:rPr lang="ca-ES" sz="1100" b="0" i="1">
                            <a:latin typeface="Cambria Math" panose="02040503050406030204" pitchFamily="18" charset="0"/>
                          </a:rPr>
                          <m:t> </m:t>
                        </m:r>
                        <m:r>
                          <a:rPr lang="ca-ES" sz="1100" b="0" i="1">
                            <a:latin typeface="Cambria Math" panose="02040503050406030204" pitchFamily="18" charset="0"/>
                          </a:rPr>
                          <m:t>𝑀</m:t>
                        </m:r>
                        <m:sSup>
                          <m:sSupPr>
                            <m:ctrlPr>
                              <a:rPr lang="ca-ES" sz="1100" b="0" i="1">
                                <a:latin typeface="Cambria Math" panose="02040503050406030204" pitchFamily="18" charset="0"/>
                              </a:rPr>
                            </m:ctrlPr>
                          </m:sSupPr>
                          <m:e>
                            <m:r>
                              <a:rPr lang="ca-ES" sz="1100" b="0" i="1">
                                <a:latin typeface="Cambria Math" panose="02040503050406030204" pitchFamily="18" charset="0"/>
                              </a:rPr>
                              <m:t>𝑛</m:t>
                            </m:r>
                          </m:e>
                          <m:sup>
                            <m:r>
                              <a:rPr lang="ca-ES" sz="1100" b="0" i="1">
                                <a:latin typeface="Cambria Math" panose="02040503050406030204" pitchFamily="18" charset="0"/>
                              </a:rPr>
                              <m:t>2+</m:t>
                            </m:r>
                          </m:sup>
                        </m:sSup>
                      </m:num>
                      <m:den>
                        <m:r>
                          <a:rPr lang="ca-ES" sz="1100" b="0" i="1">
                            <a:latin typeface="Cambria Math" panose="02040503050406030204" pitchFamily="18" charset="0"/>
                          </a:rPr>
                          <m:t>1 </m:t>
                        </m:r>
                        <m:r>
                          <a:rPr lang="ca-ES" sz="1100" b="0" i="1">
                            <a:latin typeface="Cambria Math" panose="02040503050406030204" pitchFamily="18" charset="0"/>
                          </a:rPr>
                          <m:t>𝑚𝑜𝑙</m:t>
                        </m:r>
                        <m:r>
                          <a:rPr lang="ca-ES" sz="1100" b="0" i="1">
                            <a:latin typeface="Cambria Math" panose="02040503050406030204" pitchFamily="18" charset="0"/>
                          </a:rPr>
                          <m:t> </m:t>
                        </m:r>
                        <m:r>
                          <a:rPr lang="ca-ES" sz="1100" b="0" i="1">
                            <a:latin typeface="Cambria Math" panose="02040503050406030204" pitchFamily="18" charset="0"/>
                          </a:rPr>
                          <m:t>𝑀𝑛𝑆</m:t>
                        </m:r>
                        <m:sSub>
                          <m:sSubPr>
                            <m:ctrlPr>
                              <a:rPr lang="ca-ES" sz="1100" b="0" i="1">
                                <a:latin typeface="Cambria Math" panose="02040503050406030204" pitchFamily="18" charset="0"/>
                              </a:rPr>
                            </m:ctrlPr>
                          </m:sSubPr>
                          <m:e>
                            <m:r>
                              <a:rPr lang="ca-ES" sz="1100" b="0" i="1">
                                <a:latin typeface="Cambria Math" panose="02040503050406030204" pitchFamily="18" charset="0"/>
                              </a:rPr>
                              <m:t>𝑂</m:t>
                            </m:r>
                          </m:e>
                          <m:sub>
                            <m:r>
                              <a:rPr lang="ca-ES" sz="1100" b="0" i="1">
                                <a:latin typeface="Cambria Math" panose="02040503050406030204" pitchFamily="18" charset="0"/>
                              </a:rPr>
                              <m:t>4</m:t>
                            </m:r>
                          </m:sub>
                        </m:sSub>
                      </m:den>
                    </m:f>
                    <m:r>
                      <a:rPr lang="ca-ES" sz="1100" b="0" i="1">
                        <a:latin typeface="Cambria Math" panose="02040503050406030204" pitchFamily="18" charset="0"/>
                      </a:rPr>
                      <m:t>·</m:t>
                    </m:r>
                    <m:f>
                      <m:fPr>
                        <m:ctrlPr>
                          <a:rPr lang="ca-ES" sz="1100" b="0" i="1">
                            <a:latin typeface="Cambria Math" panose="02040503050406030204" pitchFamily="18" charset="0"/>
                          </a:rPr>
                        </m:ctrlPr>
                      </m:fPr>
                      <m:num>
                        <m:r>
                          <a:rPr lang="ca-ES" sz="1100" b="0" i="1">
                            <a:latin typeface="Cambria Math" panose="02040503050406030204" pitchFamily="18" charset="0"/>
                          </a:rPr>
                          <m:t>54.9380 </m:t>
                        </m:r>
                        <m:r>
                          <a:rPr lang="ca-ES" sz="1100" b="0" i="1">
                            <a:latin typeface="Cambria Math" panose="02040503050406030204" pitchFamily="18" charset="0"/>
                          </a:rPr>
                          <m:t>𝑔</m:t>
                        </m:r>
                        <m:r>
                          <a:rPr lang="ca-ES" sz="1100" b="0" i="1">
                            <a:latin typeface="Cambria Math" panose="02040503050406030204" pitchFamily="18" charset="0"/>
                          </a:rPr>
                          <m:t> </m:t>
                        </m:r>
                        <m:r>
                          <a:rPr lang="ca-ES" sz="1100" b="1" i="1">
                            <a:latin typeface="Cambria Math" panose="02040503050406030204" pitchFamily="18" charset="0"/>
                          </a:rPr>
                          <m:t>𝑴</m:t>
                        </m:r>
                        <m:sSup>
                          <m:sSupPr>
                            <m:ctrlPr>
                              <a:rPr lang="ca-ES" sz="1100" b="1" i="1">
                                <a:latin typeface="Cambria Math" panose="02040503050406030204" pitchFamily="18" charset="0"/>
                              </a:rPr>
                            </m:ctrlPr>
                          </m:sSupPr>
                          <m:e>
                            <m:r>
                              <a:rPr lang="ca-ES" sz="1100" b="1" i="1">
                                <a:latin typeface="Cambria Math" panose="02040503050406030204" pitchFamily="18" charset="0"/>
                              </a:rPr>
                              <m:t>𝒏</m:t>
                            </m:r>
                          </m:e>
                          <m:sup>
                            <m:r>
                              <a:rPr lang="ca-ES" sz="1100" b="1" i="1">
                                <a:latin typeface="Cambria Math" panose="02040503050406030204" pitchFamily="18" charset="0"/>
                              </a:rPr>
                              <m:t>𝟐</m:t>
                            </m:r>
                            <m:r>
                              <a:rPr lang="ca-ES" sz="1100" b="1" i="1">
                                <a:latin typeface="Cambria Math" panose="02040503050406030204" pitchFamily="18" charset="0"/>
                              </a:rPr>
                              <m:t>+</m:t>
                            </m:r>
                          </m:sup>
                        </m:sSup>
                      </m:num>
                      <m:den>
                        <m:r>
                          <a:rPr lang="ca-ES" sz="1100" b="0" i="1">
                            <a:latin typeface="Cambria Math" panose="02040503050406030204" pitchFamily="18" charset="0"/>
                          </a:rPr>
                          <m:t>1 </m:t>
                        </m:r>
                        <m:r>
                          <a:rPr lang="ca-ES" sz="1100" b="0" i="1">
                            <a:latin typeface="Cambria Math" panose="02040503050406030204" pitchFamily="18" charset="0"/>
                          </a:rPr>
                          <m:t>𝑚𝑜𝑙</m:t>
                        </m:r>
                        <m:r>
                          <a:rPr lang="ca-ES" sz="1100" b="0" i="1">
                            <a:latin typeface="Cambria Math" panose="02040503050406030204" pitchFamily="18" charset="0"/>
                          </a:rPr>
                          <m:t> </m:t>
                        </m:r>
                        <m:r>
                          <a:rPr lang="ca-ES" sz="1100" b="0" i="1">
                            <a:latin typeface="Cambria Math" panose="02040503050406030204" pitchFamily="18" charset="0"/>
                          </a:rPr>
                          <m:t>𝑀</m:t>
                        </m:r>
                        <m:sSup>
                          <m:sSupPr>
                            <m:ctrlPr>
                              <a:rPr lang="ca-ES" sz="1100" b="0" i="1">
                                <a:latin typeface="Cambria Math" panose="02040503050406030204" pitchFamily="18" charset="0"/>
                              </a:rPr>
                            </m:ctrlPr>
                          </m:sSupPr>
                          <m:e>
                            <m:r>
                              <a:rPr lang="ca-ES" sz="1100" b="0" i="1">
                                <a:latin typeface="Cambria Math" panose="02040503050406030204" pitchFamily="18" charset="0"/>
                              </a:rPr>
                              <m:t>𝑛</m:t>
                            </m:r>
                          </m:e>
                          <m:sup>
                            <m:r>
                              <a:rPr lang="ca-ES" sz="1100" b="0" i="1">
                                <a:latin typeface="Cambria Math" panose="02040503050406030204" pitchFamily="18" charset="0"/>
                              </a:rPr>
                              <m:t>2+</m:t>
                            </m:r>
                          </m:sup>
                        </m:sSup>
                      </m:den>
                    </m:f>
                    <m:r>
                      <a:rPr lang="ca-ES" sz="1100" b="0" i="1">
                        <a:latin typeface="Cambria Math" panose="02040503050406030204" pitchFamily="18" charset="0"/>
                      </a:rPr>
                      <m:t>=251.1 </m:t>
                    </m:r>
                    <m:r>
                      <a:rPr lang="ca-ES" sz="1100" b="0" i="1">
                        <a:latin typeface="Cambria Math" panose="02040503050406030204" pitchFamily="18" charset="0"/>
                      </a:rPr>
                      <m:t>𝑚𝑔</m:t>
                    </m:r>
                    <m:r>
                      <a:rPr lang="ca-ES" sz="1100" b="0" i="1">
                        <a:latin typeface="Cambria Math" panose="02040503050406030204" pitchFamily="18" charset="0"/>
                      </a:rPr>
                      <m:t> </m:t>
                    </m:r>
                    <m:r>
                      <a:rPr lang="ca-ES" sz="1100" b="0" i="1">
                        <a:latin typeface="Cambria Math" panose="02040503050406030204" pitchFamily="18" charset="0"/>
                      </a:rPr>
                      <m:t>𝑀</m:t>
                    </m:r>
                    <m:sSup>
                      <m:sSupPr>
                        <m:ctrlPr>
                          <a:rPr lang="ca-ES" sz="1100" b="0" i="1">
                            <a:latin typeface="Cambria Math" panose="02040503050406030204" pitchFamily="18" charset="0"/>
                          </a:rPr>
                        </m:ctrlPr>
                      </m:sSupPr>
                      <m:e>
                        <m:r>
                          <a:rPr lang="ca-ES" sz="1100" b="0" i="1">
                            <a:latin typeface="Cambria Math" panose="02040503050406030204" pitchFamily="18" charset="0"/>
                          </a:rPr>
                          <m:t>𝑛</m:t>
                        </m:r>
                      </m:e>
                      <m:sup>
                        <m:r>
                          <a:rPr lang="ca-ES" sz="1100" b="0" i="1">
                            <a:latin typeface="Cambria Math" panose="02040503050406030204" pitchFamily="18" charset="0"/>
                          </a:rPr>
                          <m:t>2+</m:t>
                        </m:r>
                      </m:sup>
                    </m:sSup>
                  </m:oMath>
                </m:oMathPara>
              </a14:m>
              <a:endParaRPr lang="ca-ES" sz="1100"/>
            </a:p>
            <a:p>
              <a:r>
                <a:rPr lang="ca-ES" sz="1100" u="sng"/>
                <a:t>Patró 1000 ppm</a:t>
              </a:r>
              <a:endParaRPr lang="ca-ES" sz="1100" b="0" i="1" u="sng">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f>
                      <m:fPr>
                        <m:ctrlPr>
                          <a:rPr lang="ca-ES" sz="1100" b="0" i="1">
                            <a:latin typeface="Cambria Math" panose="02040503050406030204" pitchFamily="18" charset="0"/>
                          </a:rPr>
                        </m:ctrlPr>
                      </m:fPr>
                      <m:num>
                        <m:r>
                          <a:rPr lang="ca-ES" sz="1100" b="0" i="1">
                            <a:latin typeface="Cambria Math" panose="02040503050406030204" pitchFamily="18" charset="0"/>
                          </a:rPr>
                          <m:t>251.1 </m:t>
                        </m:r>
                        <m:r>
                          <a:rPr lang="ca-ES" sz="1100" b="0" i="1">
                            <a:latin typeface="Cambria Math" panose="02040503050406030204" pitchFamily="18" charset="0"/>
                          </a:rPr>
                          <m:t>𝑚𝑔</m:t>
                        </m:r>
                        <m:r>
                          <a:rPr lang="ca-ES" sz="1100" b="0" i="1">
                            <a:latin typeface="Cambria Math" panose="02040503050406030204" pitchFamily="18" charset="0"/>
                          </a:rPr>
                          <m:t> </m:t>
                        </m:r>
                        <m:r>
                          <a:rPr lang="ca-ES" sz="1100" b="0" i="1">
                            <a:latin typeface="Cambria Math" panose="02040503050406030204" pitchFamily="18" charset="0"/>
                          </a:rPr>
                          <m:t>𝑀</m:t>
                        </m:r>
                        <m:sSup>
                          <m:sSupPr>
                            <m:ctrlPr>
                              <a:rPr lang="ca-ES" sz="1100" b="0" i="1">
                                <a:latin typeface="Cambria Math" panose="02040503050406030204" pitchFamily="18" charset="0"/>
                              </a:rPr>
                            </m:ctrlPr>
                          </m:sSupPr>
                          <m:e>
                            <m:r>
                              <a:rPr lang="ca-ES" sz="1100" b="0" i="1">
                                <a:latin typeface="Cambria Math" panose="02040503050406030204" pitchFamily="18" charset="0"/>
                              </a:rPr>
                              <m:t>𝑛</m:t>
                            </m:r>
                          </m:e>
                          <m:sup>
                            <m:r>
                              <a:rPr lang="ca-ES" sz="1100" b="0" i="1">
                                <a:latin typeface="Cambria Math" panose="02040503050406030204" pitchFamily="18" charset="0"/>
                              </a:rPr>
                              <m:t>2+</m:t>
                            </m:r>
                          </m:sup>
                        </m:sSup>
                      </m:num>
                      <m:den>
                        <m:r>
                          <a:rPr lang="ca-ES" sz="1100" b="0" i="1">
                            <a:latin typeface="Cambria Math" panose="02040503050406030204" pitchFamily="18" charset="0"/>
                          </a:rPr>
                          <m:t>0.2500 </m:t>
                        </m:r>
                        <m:r>
                          <a:rPr lang="ca-ES" sz="1100" b="0" i="1">
                            <a:latin typeface="Cambria Math" panose="02040503050406030204" pitchFamily="18" charset="0"/>
                          </a:rPr>
                          <m:t>𝐿</m:t>
                        </m:r>
                      </m:den>
                    </m:f>
                    <m:r>
                      <a:rPr lang="ca-ES" sz="1100" b="0" i="1">
                        <a:latin typeface="Cambria Math" panose="02040503050406030204" pitchFamily="18" charset="0"/>
                      </a:rPr>
                      <m:t>=1004 </m:t>
                    </m:r>
                    <m:r>
                      <a:rPr lang="ca-ES" sz="1100" b="0" i="1">
                        <a:latin typeface="Cambria Math" panose="02040503050406030204" pitchFamily="18" charset="0"/>
                      </a:rPr>
                      <m:t>𝑝𝑝𝑚</m:t>
                    </m:r>
                    <m:r>
                      <a:rPr lang="ca-ES" sz="1100" b="0" i="1">
                        <a:latin typeface="Cambria Math" panose="02040503050406030204" pitchFamily="18" charset="0"/>
                      </a:rPr>
                      <m:t> </m:t>
                    </m:r>
                    <m:r>
                      <a:rPr lang="ca-ES" sz="1100" b="0" i="1">
                        <a:solidFill>
                          <a:schemeClr val="dk1"/>
                        </a:solidFill>
                        <a:effectLst/>
                        <a:latin typeface="Cambria Math" panose="02040503050406030204" pitchFamily="18" charset="0"/>
                        <a:ea typeface="+mn-ea"/>
                        <a:cs typeface="+mn-cs"/>
                      </a:rPr>
                      <m:t>𝑀</m:t>
                    </m:r>
                    <m:sSup>
                      <m:sSupPr>
                        <m:ctrlPr>
                          <a:rPr lang="ca-ES" sz="1100" b="0" i="1">
                            <a:solidFill>
                              <a:schemeClr val="dk1"/>
                            </a:solidFill>
                            <a:effectLst/>
                            <a:latin typeface="Cambria Math" panose="02040503050406030204" pitchFamily="18" charset="0"/>
                            <a:ea typeface="+mn-ea"/>
                            <a:cs typeface="+mn-cs"/>
                          </a:rPr>
                        </m:ctrlPr>
                      </m:sSupPr>
                      <m:e>
                        <m:r>
                          <a:rPr lang="ca-ES" sz="1100" b="0" i="1">
                            <a:solidFill>
                              <a:schemeClr val="dk1"/>
                            </a:solidFill>
                            <a:effectLst/>
                            <a:latin typeface="Cambria Math" panose="02040503050406030204" pitchFamily="18" charset="0"/>
                            <a:ea typeface="+mn-ea"/>
                            <a:cs typeface="+mn-cs"/>
                          </a:rPr>
                          <m:t>𝑛</m:t>
                        </m:r>
                      </m:e>
                      <m:sup>
                        <m:r>
                          <a:rPr lang="ca-ES" sz="1100" b="0" i="1">
                            <a:solidFill>
                              <a:schemeClr val="dk1"/>
                            </a:solidFill>
                            <a:effectLst/>
                            <a:latin typeface="Cambria Math" panose="02040503050406030204" pitchFamily="18" charset="0"/>
                            <a:ea typeface="+mn-ea"/>
                            <a:cs typeface="+mn-cs"/>
                          </a:rPr>
                          <m:t>2+</m:t>
                        </m:r>
                      </m:sup>
                    </m:sSup>
                  </m:oMath>
                </m:oMathPara>
              </a14:m>
              <a:endParaRPr lang="ca-ES" sz="1100"/>
            </a:p>
            <a:p>
              <a:r>
                <a:rPr lang="ca-ES" sz="1100" u="sng"/>
                <a:t>Patró 100 ppm</a:t>
              </a:r>
            </a:p>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ca-ES" sz="1100" b="0" i="1">
                            <a:solidFill>
                              <a:schemeClr val="dk1"/>
                            </a:solidFill>
                            <a:effectLst/>
                            <a:latin typeface="Cambria Math" panose="02040503050406030204" pitchFamily="18" charset="0"/>
                            <a:ea typeface="+mn-ea"/>
                            <a:cs typeface="+mn-cs"/>
                          </a:rPr>
                        </m:ctrlPr>
                      </m:fPr>
                      <m:num>
                        <m:r>
                          <a:rPr lang="ca-ES" sz="1100" b="0" i="1">
                            <a:solidFill>
                              <a:schemeClr val="dk1"/>
                            </a:solidFill>
                            <a:effectLst/>
                            <a:latin typeface="Cambria Math" panose="02040503050406030204" pitchFamily="18" charset="0"/>
                            <a:ea typeface="+mn-ea"/>
                            <a:cs typeface="+mn-cs"/>
                          </a:rPr>
                          <m:t>25.0 </m:t>
                        </m:r>
                        <m:r>
                          <a:rPr lang="ca-ES" sz="1100" b="0" i="1">
                            <a:solidFill>
                              <a:schemeClr val="dk1"/>
                            </a:solidFill>
                            <a:effectLst/>
                            <a:latin typeface="Cambria Math" panose="02040503050406030204" pitchFamily="18" charset="0"/>
                            <a:ea typeface="+mn-ea"/>
                            <a:cs typeface="+mn-cs"/>
                          </a:rPr>
                          <m:t>𝑚𝐿</m:t>
                        </m:r>
                        <m:r>
                          <a:rPr lang="ca-ES" sz="1100" b="0" i="1">
                            <a:solidFill>
                              <a:schemeClr val="dk1"/>
                            </a:solidFill>
                            <a:effectLst/>
                            <a:latin typeface="Cambria Math" panose="02040503050406030204" pitchFamily="18" charset="0"/>
                            <a:ea typeface="+mn-ea"/>
                            <a:cs typeface="+mn-cs"/>
                          </a:rPr>
                          <m:t>·1004 </m:t>
                        </m:r>
                        <m:r>
                          <a:rPr lang="ca-ES" sz="1100" b="0" i="1">
                            <a:solidFill>
                              <a:schemeClr val="dk1"/>
                            </a:solidFill>
                            <a:effectLst/>
                            <a:latin typeface="Cambria Math" panose="02040503050406030204" pitchFamily="18" charset="0"/>
                            <a:ea typeface="+mn-ea"/>
                            <a:cs typeface="+mn-cs"/>
                          </a:rPr>
                          <m:t>𝑝𝑚</m:t>
                        </m:r>
                        <m:r>
                          <a:rPr lang="ca-ES" sz="1100" b="0" i="1">
                            <a:solidFill>
                              <a:schemeClr val="dk1"/>
                            </a:solidFill>
                            <a:effectLst/>
                            <a:latin typeface="Cambria Math" panose="02040503050406030204" pitchFamily="18" charset="0"/>
                            <a:ea typeface="+mn-ea"/>
                            <a:cs typeface="+mn-cs"/>
                          </a:rPr>
                          <m:t> </m:t>
                        </m:r>
                        <m:r>
                          <a:rPr lang="ca-ES" sz="1100" b="0" i="1">
                            <a:solidFill>
                              <a:schemeClr val="dk1"/>
                            </a:solidFill>
                            <a:effectLst/>
                            <a:latin typeface="Cambria Math" panose="02040503050406030204" pitchFamily="18" charset="0"/>
                            <a:ea typeface="+mn-ea"/>
                            <a:cs typeface="+mn-cs"/>
                          </a:rPr>
                          <m:t>𝑀</m:t>
                        </m:r>
                        <m:sSup>
                          <m:sSupPr>
                            <m:ctrlPr>
                              <a:rPr lang="ca-ES" sz="1100" b="0" i="1">
                                <a:solidFill>
                                  <a:schemeClr val="dk1"/>
                                </a:solidFill>
                                <a:effectLst/>
                                <a:latin typeface="Cambria Math" panose="02040503050406030204" pitchFamily="18" charset="0"/>
                                <a:ea typeface="+mn-ea"/>
                                <a:cs typeface="+mn-cs"/>
                              </a:rPr>
                            </m:ctrlPr>
                          </m:sSupPr>
                          <m:e>
                            <m:r>
                              <a:rPr lang="ca-ES" sz="1100" b="0" i="1">
                                <a:solidFill>
                                  <a:schemeClr val="dk1"/>
                                </a:solidFill>
                                <a:effectLst/>
                                <a:latin typeface="Cambria Math" panose="02040503050406030204" pitchFamily="18" charset="0"/>
                                <a:ea typeface="+mn-ea"/>
                                <a:cs typeface="+mn-cs"/>
                              </a:rPr>
                              <m:t>𝑛</m:t>
                            </m:r>
                          </m:e>
                          <m:sup>
                            <m:r>
                              <a:rPr lang="ca-ES" sz="1100" b="0" i="1">
                                <a:solidFill>
                                  <a:schemeClr val="dk1"/>
                                </a:solidFill>
                                <a:effectLst/>
                                <a:latin typeface="Cambria Math" panose="02040503050406030204" pitchFamily="18" charset="0"/>
                                <a:ea typeface="+mn-ea"/>
                                <a:cs typeface="+mn-cs"/>
                              </a:rPr>
                              <m:t>2+</m:t>
                            </m:r>
                          </m:sup>
                        </m:sSup>
                      </m:num>
                      <m:den>
                        <m:r>
                          <a:rPr lang="ca-ES" sz="1100" b="0" i="1">
                            <a:solidFill>
                              <a:schemeClr val="dk1"/>
                            </a:solidFill>
                            <a:effectLst/>
                            <a:latin typeface="Cambria Math" panose="02040503050406030204" pitchFamily="18" charset="0"/>
                            <a:ea typeface="+mn-ea"/>
                            <a:cs typeface="+mn-cs"/>
                          </a:rPr>
                          <m:t>250.0 </m:t>
                        </m:r>
                        <m:r>
                          <a:rPr lang="ca-ES" sz="1100" b="0" i="1">
                            <a:solidFill>
                              <a:schemeClr val="dk1"/>
                            </a:solidFill>
                            <a:effectLst/>
                            <a:latin typeface="Cambria Math" panose="02040503050406030204" pitchFamily="18" charset="0"/>
                            <a:ea typeface="+mn-ea"/>
                            <a:cs typeface="+mn-cs"/>
                          </a:rPr>
                          <m:t>𝑚𝐿</m:t>
                        </m:r>
                      </m:den>
                    </m:f>
                    <m:r>
                      <a:rPr lang="ca-ES" sz="1100" b="0" i="1">
                        <a:solidFill>
                          <a:schemeClr val="dk1"/>
                        </a:solidFill>
                        <a:effectLst/>
                        <a:latin typeface="Cambria Math" panose="02040503050406030204" pitchFamily="18" charset="0"/>
                        <a:ea typeface="+mn-ea"/>
                        <a:cs typeface="+mn-cs"/>
                      </a:rPr>
                      <m:t>=100.4 </m:t>
                    </m:r>
                    <m:r>
                      <a:rPr lang="ca-ES" sz="1100" b="0" i="1">
                        <a:solidFill>
                          <a:schemeClr val="dk1"/>
                        </a:solidFill>
                        <a:effectLst/>
                        <a:latin typeface="Cambria Math" panose="02040503050406030204" pitchFamily="18" charset="0"/>
                        <a:ea typeface="+mn-ea"/>
                        <a:cs typeface="+mn-cs"/>
                      </a:rPr>
                      <m:t>𝑝𝑝𝑚</m:t>
                    </m:r>
                    <m:r>
                      <a:rPr lang="ca-ES" sz="1100" b="0" i="1">
                        <a:solidFill>
                          <a:schemeClr val="dk1"/>
                        </a:solidFill>
                        <a:effectLst/>
                        <a:latin typeface="Cambria Math" panose="02040503050406030204" pitchFamily="18" charset="0"/>
                        <a:ea typeface="+mn-ea"/>
                        <a:cs typeface="+mn-cs"/>
                      </a:rPr>
                      <m:t> </m:t>
                    </m:r>
                    <m:r>
                      <a:rPr lang="ca-ES" sz="1100" b="0" i="1">
                        <a:solidFill>
                          <a:schemeClr val="dk1"/>
                        </a:solidFill>
                        <a:effectLst/>
                        <a:latin typeface="Cambria Math" panose="02040503050406030204" pitchFamily="18" charset="0"/>
                        <a:ea typeface="+mn-ea"/>
                        <a:cs typeface="+mn-cs"/>
                      </a:rPr>
                      <m:t>𝑀</m:t>
                    </m:r>
                    <m:sSup>
                      <m:sSupPr>
                        <m:ctrlPr>
                          <a:rPr lang="ca-ES" sz="1100" b="0" i="1">
                            <a:solidFill>
                              <a:schemeClr val="dk1"/>
                            </a:solidFill>
                            <a:effectLst/>
                            <a:latin typeface="Cambria Math" panose="02040503050406030204" pitchFamily="18" charset="0"/>
                            <a:ea typeface="+mn-ea"/>
                            <a:cs typeface="+mn-cs"/>
                          </a:rPr>
                        </m:ctrlPr>
                      </m:sSupPr>
                      <m:e>
                        <m:r>
                          <a:rPr lang="ca-ES" sz="1100" b="0" i="1">
                            <a:solidFill>
                              <a:schemeClr val="dk1"/>
                            </a:solidFill>
                            <a:effectLst/>
                            <a:latin typeface="Cambria Math" panose="02040503050406030204" pitchFamily="18" charset="0"/>
                            <a:ea typeface="+mn-ea"/>
                            <a:cs typeface="+mn-cs"/>
                          </a:rPr>
                          <m:t>𝑛</m:t>
                        </m:r>
                      </m:e>
                      <m:sup>
                        <m:r>
                          <a:rPr lang="ca-ES" sz="1100" b="0" i="1">
                            <a:solidFill>
                              <a:schemeClr val="dk1"/>
                            </a:solidFill>
                            <a:effectLst/>
                            <a:latin typeface="Cambria Math" panose="02040503050406030204" pitchFamily="18" charset="0"/>
                            <a:ea typeface="+mn-ea"/>
                            <a:cs typeface="+mn-cs"/>
                          </a:rPr>
                          <m:t>2+</m:t>
                        </m:r>
                      </m:sup>
                    </m:sSup>
                  </m:oMath>
                </m:oMathPara>
              </a14:m>
              <a:endParaRPr lang="ca-ES" sz="1100" u="sng"/>
            </a:p>
            <a:p>
              <a:r>
                <a:rPr lang="ca-ES" sz="1100" u="sng"/>
                <a:t>Patró 10 ppm</a:t>
              </a:r>
            </a:p>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ca-ES" sz="1100" b="0" i="1">
                            <a:solidFill>
                              <a:schemeClr val="dk1"/>
                            </a:solidFill>
                            <a:effectLst/>
                            <a:latin typeface="Cambria Math" panose="02040503050406030204" pitchFamily="18" charset="0"/>
                            <a:ea typeface="+mn-ea"/>
                            <a:cs typeface="+mn-cs"/>
                          </a:rPr>
                        </m:ctrlPr>
                      </m:fPr>
                      <m:num>
                        <m:r>
                          <a:rPr lang="ca-ES" sz="1100" b="0" i="1">
                            <a:solidFill>
                              <a:schemeClr val="dk1"/>
                            </a:solidFill>
                            <a:effectLst/>
                            <a:latin typeface="Cambria Math" panose="02040503050406030204" pitchFamily="18" charset="0"/>
                            <a:ea typeface="+mn-ea"/>
                            <a:cs typeface="+mn-cs"/>
                          </a:rPr>
                          <m:t>25.0 </m:t>
                        </m:r>
                        <m:r>
                          <a:rPr lang="ca-ES" sz="1100" b="0" i="1">
                            <a:solidFill>
                              <a:schemeClr val="dk1"/>
                            </a:solidFill>
                            <a:effectLst/>
                            <a:latin typeface="Cambria Math" panose="02040503050406030204" pitchFamily="18" charset="0"/>
                            <a:ea typeface="+mn-ea"/>
                            <a:cs typeface="+mn-cs"/>
                          </a:rPr>
                          <m:t>𝑚𝐿</m:t>
                        </m:r>
                        <m:r>
                          <a:rPr lang="ca-ES" sz="1100" b="0" i="1">
                            <a:solidFill>
                              <a:schemeClr val="dk1"/>
                            </a:solidFill>
                            <a:effectLst/>
                            <a:latin typeface="Cambria Math" panose="02040503050406030204" pitchFamily="18" charset="0"/>
                            <a:ea typeface="+mn-ea"/>
                            <a:cs typeface="+mn-cs"/>
                          </a:rPr>
                          <m:t>·100.4 </m:t>
                        </m:r>
                        <m:r>
                          <a:rPr lang="ca-ES" sz="1100" b="0" i="1">
                            <a:solidFill>
                              <a:schemeClr val="dk1"/>
                            </a:solidFill>
                            <a:effectLst/>
                            <a:latin typeface="Cambria Math" panose="02040503050406030204" pitchFamily="18" charset="0"/>
                            <a:ea typeface="+mn-ea"/>
                            <a:cs typeface="+mn-cs"/>
                          </a:rPr>
                          <m:t>𝑝𝑚</m:t>
                        </m:r>
                        <m:r>
                          <a:rPr lang="ca-ES" sz="1100" b="0" i="1">
                            <a:solidFill>
                              <a:schemeClr val="dk1"/>
                            </a:solidFill>
                            <a:effectLst/>
                            <a:latin typeface="Cambria Math" panose="02040503050406030204" pitchFamily="18" charset="0"/>
                            <a:ea typeface="+mn-ea"/>
                            <a:cs typeface="+mn-cs"/>
                          </a:rPr>
                          <m:t> </m:t>
                        </m:r>
                        <m:r>
                          <a:rPr lang="ca-ES" sz="1100" b="0" i="1">
                            <a:solidFill>
                              <a:schemeClr val="dk1"/>
                            </a:solidFill>
                            <a:effectLst/>
                            <a:latin typeface="Cambria Math" panose="02040503050406030204" pitchFamily="18" charset="0"/>
                            <a:ea typeface="+mn-ea"/>
                            <a:cs typeface="+mn-cs"/>
                          </a:rPr>
                          <m:t>𝑀</m:t>
                        </m:r>
                        <m:sSup>
                          <m:sSupPr>
                            <m:ctrlPr>
                              <a:rPr lang="ca-ES" sz="1100" b="0" i="1">
                                <a:solidFill>
                                  <a:schemeClr val="dk1"/>
                                </a:solidFill>
                                <a:effectLst/>
                                <a:latin typeface="Cambria Math" panose="02040503050406030204" pitchFamily="18" charset="0"/>
                                <a:ea typeface="+mn-ea"/>
                                <a:cs typeface="+mn-cs"/>
                              </a:rPr>
                            </m:ctrlPr>
                          </m:sSupPr>
                          <m:e>
                            <m:r>
                              <a:rPr lang="ca-ES" sz="1100" b="0" i="1">
                                <a:solidFill>
                                  <a:schemeClr val="dk1"/>
                                </a:solidFill>
                                <a:effectLst/>
                                <a:latin typeface="Cambria Math" panose="02040503050406030204" pitchFamily="18" charset="0"/>
                                <a:ea typeface="+mn-ea"/>
                                <a:cs typeface="+mn-cs"/>
                              </a:rPr>
                              <m:t>𝑛</m:t>
                            </m:r>
                          </m:e>
                          <m:sup>
                            <m:r>
                              <a:rPr lang="ca-ES" sz="1100" b="0" i="1">
                                <a:solidFill>
                                  <a:schemeClr val="dk1"/>
                                </a:solidFill>
                                <a:effectLst/>
                                <a:latin typeface="Cambria Math" panose="02040503050406030204" pitchFamily="18" charset="0"/>
                                <a:ea typeface="+mn-ea"/>
                                <a:cs typeface="+mn-cs"/>
                              </a:rPr>
                              <m:t>2+</m:t>
                            </m:r>
                          </m:sup>
                        </m:sSup>
                      </m:num>
                      <m:den>
                        <m:r>
                          <a:rPr lang="ca-ES" sz="1100" b="0" i="1">
                            <a:solidFill>
                              <a:schemeClr val="dk1"/>
                            </a:solidFill>
                            <a:effectLst/>
                            <a:latin typeface="Cambria Math" panose="02040503050406030204" pitchFamily="18" charset="0"/>
                            <a:ea typeface="+mn-ea"/>
                            <a:cs typeface="+mn-cs"/>
                          </a:rPr>
                          <m:t>250.0 </m:t>
                        </m:r>
                        <m:r>
                          <a:rPr lang="ca-ES" sz="1100" b="0" i="1">
                            <a:solidFill>
                              <a:schemeClr val="dk1"/>
                            </a:solidFill>
                            <a:effectLst/>
                            <a:latin typeface="Cambria Math" panose="02040503050406030204" pitchFamily="18" charset="0"/>
                            <a:ea typeface="+mn-ea"/>
                            <a:cs typeface="+mn-cs"/>
                          </a:rPr>
                          <m:t>𝑚𝐿</m:t>
                        </m:r>
                      </m:den>
                    </m:f>
                    <m:r>
                      <a:rPr lang="ca-ES" sz="1100" b="0" i="1">
                        <a:solidFill>
                          <a:schemeClr val="dk1"/>
                        </a:solidFill>
                        <a:effectLst/>
                        <a:latin typeface="Cambria Math" panose="02040503050406030204" pitchFamily="18" charset="0"/>
                        <a:ea typeface="+mn-ea"/>
                        <a:cs typeface="+mn-cs"/>
                      </a:rPr>
                      <m:t>=10.04 </m:t>
                    </m:r>
                    <m:r>
                      <a:rPr lang="ca-ES" sz="1100" b="0" i="1">
                        <a:solidFill>
                          <a:schemeClr val="dk1"/>
                        </a:solidFill>
                        <a:effectLst/>
                        <a:latin typeface="Cambria Math" panose="02040503050406030204" pitchFamily="18" charset="0"/>
                        <a:ea typeface="+mn-ea"/>
                        <a:cs typeface="+mn-cs"/>
                      </a:rPr>
                      <m:t>𝑝𝑝𝑚</m:t>
                    </m:r>
                    <m:r>
                      <a:rPr lang="ca-ES" sz="1100" b="0" i="1">
                        <a:solidFill>
                          <a:schemeClr val="dk1"/>
                        </a:solidFill>
                        <a:effectLst/>
                        <a:latin typeface="Cambria Math" panose="02040503050406030204" pitchFamily="18" charset="0"/>
                        <a:ea typeface="+mn-ea"/>
                        <a:cs typeface="+mn-cs"/>
                      </a:rPr>
                      <m:t> </m:t>
                    </m:r>
                    <m:r>
                      <a:rPr lang="ca-ES" sz="1100" b="0" i="1">
                        <a:solidFill>
                          <a:schemeClr val="dk1"/>
                        </a:solidFill>
                        <a:effectLst/>
                        <a:latin typeface="Cambria Math" panose="02040503050406030204" pitchFamily="18" charset="0"/>
                        <a:ea typeface="+mn-ea"/>
                        <a:cs typeface="+mn-cs"/>
                      </a:rPr>
                      <m:t>𝑀</m:t>
                    </m:r>
                    <m:sSup>
                      <m:sSupPr>
                        <m:ctrlPr>
                          <a:rPr lang="ca-ES" sz="1100" b="0" i="1">
                            <a:solidFill>
                              <a:schemeClr val="dk1"/>
                            </a:solidFill>
                            <a:effectLst/>
                            <a:latin typeface="Cambria Math" panose="02040503050406030204" pitchFamily="18" charset="0"/>
                            <a:ea typeface="+mn-ea"/>
                            <a:cs typeface="+mn-cs"/>
                          </a:rPr>
                        </m:ctrlPr>
                      </m:sSupPr>
                      <m:e>
                        <m:r>
                          <a:rPr lang="ca-ES" sz="1100" b="0" i="1">
                            <a:solidFill>
                              <a:schemeClr val="dk1"/>
                            </a:solidFill>
                            <a:effectLst/>
                            <a:latin typeface="Cambria Math" panose="02040503050406030204" pitchFamily="18" charset="0"/>
                            <a:ea typeface="+mn-ea"/>
                            <a:cs typeface="+mn-cs"/>
                          </a:rPr>
                          <m:t>𝑛</m:t>
                        </m:r>
                      </m:e>
                      <m:sup>
                        <m:r>
                          <a:rPr lang="ca-ES" sz="1100" b="0" i="1">
                            <a:solidFill>
                              <a:schemeClr val="dk1"/>
                            </a:solidFill>
                            <a:effectLst/>
                            <a:latin typeface="Cambria Math" panose="02040503050406030204" pitchFamily="18" charset="0"/>
                            <a:ea typeface="+mn-ea"/>
                            <a:cs typeface="+mn-cs"/>
                          </a:rPr>
                          <m:t>2+</m:t>
                        </m:r>
                      </m:sup>
                    </m:sSup>
                  </m:oMath>
                </m:oMathPara>
              </a14:m>
              <a:endParaRPr lang="ca-ES">
                <a:effectLst/>
              </a:endParaRPr>
            </a:p>
            <a:p>
              <a:endParaRPr lang="ca-ES" sz="1100" u="sng"/>
            </a:p>
          </xdr:txBody>
        </xdr:sp>
      </mc:Choice>
      <mc:Fallback xmlns="">
        <xdr:sp macro="" textlink="">
          <xdr:nvSpPr>
            <xdr:cNvPr id="184" name="CuadroTexto 2">
              <a:extLst>
                <a:ext uri="{FF2B5EF4-FFF2-40B4-BE49-F238E27FC236}">
                  <a16:creationId xmlns:a16="http://schemas.microsoft.com/office/drawing/2014/main" id="{BBFA22E7-3A23-49BD-B84C-1FABBF8D7BB7}"/>
                </a:ext>
              </a:extLst>
            </xdr:cNvPr>
            <xdr:cNvSpPr txBox="1"/>
          </xdr:nvSpPr>
          <xdr:spPr>
            <a:xfrm>
              <a:off x="180109" y="5721927"/>
              <a:ext cx="12455236" cy="2101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ca-ES" sz="1100" b="0" i="0">
                  <a:latin typeface="Cambria Math" panose="02040503050406030204" pitchFamily="18" charset="0"/>
                </a:rPr>
                <a:t>772.6 </a:t>
              </a:r>
              <a:r>
                <a:rPr lang="ca-ES" sz="1100" b="1" i="0">
                  <a:latin typeface="Cambria Math" panose="02040503050406030204" pitchFamily="18" charset="0"/>
                </a:rPr>
                <a:t>𝒎𝒈</a:t>
              </a:r>
              <a:r>
                <a:rPr lang="ca-ES" sz="1100" b="0" i="0">
                  <a:latin typeface="Cambria Math" panose="02040503050406030204" pitchFamily="18" charset="0"/>
                </a:rPr>
                <a:t> 𝑀𝑛𝑆𝑂_4·(1 𝑚𝑜𝑙 𝑀𝑛𝑆𝑂_4)/(169.02 𝑔 𝑀𝑛𝑆𝑂_4 )·(1 𝑚𝑜𝑙 𝑀𝑛^(2+))/(1 𝑚𝑜𝑙 𝑀𝑛𝑆𝑂_4 )·(54.9380 𝑔 </a:t>
              </a:r>
              <a:r>
                <a:rPr lang="ca-ES" sz="1100" b="1" i="0">
                  <a:latin typeface="Cambria Math" panose="02040503050406030204" pitchFamily="18" charset="0"/>
                </a:rPr>
                <a:t>𝑴𝒏^(𝟐+)</a:t>
              </a:r>
              <a:r>
                <a:rPr lang="ca-ES" sz="1100" b="0" i="0">
                  <a:latin typeface="Cambria Math" panose="02040503050406030204" pitchFamily="18" charset="0"/>
                </a:rPr>
                <a:t>)/(1 𝑚𝑜𝑙 𝑀𝑛^(2+) )=251.1 𝑚𝑔 𝑀𝑛^(2+)</a:t>
              </a:r>
              <a:endParaRPr lang="ca-ES" sz="1100"/>
            </a:p>
            <a:p>
              <a:r>
                <a:rPr lang="ca-ES" sz="1100" u="sng"/>
                <a:t>Patró 1000 ppm</a:t>
              </a:r>
              <a:endParaRPr lang="ca-ES" sz="1100" b="0" i="1" u="sng">
                <a:latin typeface="Cambria Math" panose="02040503050406030204" pitchFamily="18" charset="0"/>
              </a:endParaRPr>
            </a:p>
            <a:p>
              <a:r>
                <a:rPr lang="ca-ES" sz="1100" b="0" i="0">
                  <a:latin typeface="Cambria Math" panose="02040503050406030204" pitchFamily="18" charset="0"/>
                </a:rPr>
                <a:t>(251.1 𝑚𝑔 𝑀𝑛^(2+))/(0.2500 𝐿)=1004 𝑝𝑝𝑚 </a:t>
              </a:r>
              <a:r>
                <a:rPr lang="ca-ES" sz="1100" b="0" i="0">
                  <a:solidFill>
                    <a:schemeClr val="dk1"/>
                  </a:solidFill>
                  <a:effectLst/>
                  <a:latin typeface="+mn-lt"/>
                  <a:ea typeface="+mn-ea"/>
                  <a:cs typeface="+mn-cs"/>
                </a:rPr>
                <a:t>𝑀𝑛^(2+)</a:t>
              </a:r>
              <a:endParaRPr lang="ca-ES" sz="1100"/>
            </a:p>
            <a:p>
              <a:r>
                <a:rPr lang="ca-ES" sz="1100" u="sng"/>
                <a:t>Patró 100 ppm</a:t>
              </a:r>
            </a:p>
            <a:p>
              <a:pPr marL="0" marR="0" lvl="0" indent="0" defTabSz="914400" eaLnBrk="1" fontAlgn="auto" latinLnBrk="0" hangingPunct="1">
                <a:lnSpc>
                  <a:spcPct val="100000"/>
                </a:lnSpc>
                <a:spcBef>
                  <a:spcPts val="0"/>
                </a:spcBef>
                <a:spcAft>
                  <a:spcPts val="0"/>
                </a:spcAft>
                <a:buClrTx/>
                <a:buSzTx/>
                <a:buFontTx/>
                <a:buNone/>
                <a:tabLst/>
                <a:defRPr/>
              </a:pPr>
              <a:r>
                <a:rPr lang="ca-ES" sz="1100" b="0" i="0">
                  <a:solidFill>
                    <a:schemeClr val="dk1"/>
                  </a:solidFill>
                  <a:effectLst/>
                  <a:latin typeface="+mn-lt"/>
                  <a:ea typeface="+mn-ea"/>
                  <a:cs typeface="+mn-cs"/>
                </a:rPr>
                <a:t>(25</a:t>
              </a:r>
              <a:r>
                <a:rPr lang="ca-ES" sz="1100" b="0" i="0">
                  <a:solidFill>
                    <a:schemeClr val="dk1"/>
                  </a:solidFill>
                  <a:effectLst/>
                  <a:latin typeface="Cambria Math" panose="02040503050406030204" pitchFamily="18" charset="0"/>
                  <a:ea typeface="+mn-ea"/>
                  <a:cs typeface="+mn-cs"/>
                </a:rPr>
                <a:t>.0 𝑚𝐿·1004 𝑝𝑚</a:t>
              </a:r>
              <a:r>
                <a:rPr lang="ca-ES" sz="1100" b="0" i="0">
                  <a:solidFill>
                    <a:schemeClr val="dk1"/>
                  </a:solidFill>
                  <a:effectLst/>
                  <a:latin typeface="+mn-lt"/>
                  <a:ea typeface="+mn-ea"/>
                  <a:cs typeface="+mn-cs"/>
                </a:rPr>
                <a:t> 𝑀𝑛^(2+))/(250</a:t>
              </a:r>
              <a:r>
                <a:rPr lang="ca-ES" sz="1100" b="0" i="0">
                  <a:solidFill>
                    <a:schemeClr val="dk1"/>
                  </a:solidFill>
                  <a:effectLst/>
                  <a:latin typeface="Cambria Math" panose="02040503050406030204" pitchFamily="18" charset="0"/>
                  <a:ea typeface="+mn-ea"/>
                  <a:cs typeface="+mn-cs"/>
                </a:rPr>
                <a:t>.</a:t>
              </a:r>
              <a:r>
                <a:rPr lang="ca-ES" sz="1100" b="0" i="0">
                  <a:solidFill>
                    <a:schemeClr val="dk1"/>
                  </a:solidFill>
                  <a:effectLst/>
                  <a:latin typeface="+mn-lt"/>
                  <a:ea typeface="+mn-ea"/>
                  <a:cs typeface="+mn-cs"/>
                </a:rPr>
                <a:t>0 </a:t>
              </a:r>
              <a:r>
                <a:rPr lang="ca-ES" sz="1100" b="0" i="0">
                  <a:solidFill>
                    <a:schemeClr val="dk1"/>
                  </a:solidFill>
                  <a:effectLst/>
                  <a:latin typeface="Cambria Math" panose="02040503050406030204" pitchFamily="18" charset="0"/>
                  <a:ea typeface="+mn-ea"/>
                  <a:cs typeface="+mn-cs"/>
                </a:rPr>
                <a:t>𝑚</a:t>
              </a:r>
              <a:r>
                <a:rPr lang="ca-ES" sz="1100" b="0" i="0">
                  <a:solidFill>
                    <a:schemeClr val="dk1"/>
                  </a:solidFill>
                  <a:effectLst/>
                  <a:latin typeface="+mn-lt"/>
                  <a:ea typeface="+mn-ea"/>
                  <a:cs typeface="+mn-cs"/>
                </a:rPr>
                <a:t>𝐿)=100</a:t>
              </a:r>
              <a:r>
                <a:rPr lang="ca-ES" sz="1100" b="0" i="0">
                  <a:solidFill>
                    <a:schemeClr val="dk1"/>
                  </a:solidFill>
                  <a:effectLst/>
                  <a:latin typeface="Cambria Math" panose="02040503050406030204" pitchFamily="18" charset="0"/>
                  <a:ea typeface="+mn-ea"/>
                  <a:cs typeface="+mn-cs"/>
                </a:rPr>
                <a:t>.</a:t>
              </a:r>
              <a:r>
                <a:rPr lang="ca-ES" sz="1100" b="0" i="0">
                  <a:solidFill>
                    <a:schemeClr val="dk1"/>
                  </a:solidFill>
                  <a:effectLst/>
                  <a:latin typeface="+mn-lt"/>
                  <a:ea typeface="+mn-ea"/>
                  <a:cs typeface="+mn-cs"/>
                </a:rPr>
                <a:t>4 𝑝𝑝𝑚</a:t>
              </a:r>
              <a:r>
                <a:rPr lang="ca-ES" sz="1100" b="0" i="0">
                  <a:solidFill>
                    <a:schemeClr val="dk1"/>
                  </a:solidFill>
                  <a:effectLst/>
                  <a:latin typeface="Cambria Math" panose="02040503050406030204" pitchFamily="18" charset="0"/>
                  <a:ea typeface="+mn-ea"/>
                  <a:cs typeface="+mn-cs"/>
                </a:rPr>
                <a:t> </a:t>
              </a:r>
              <a:r>
                <a:rPr lang="ca-ES" sz="1100" b="0" i="0">
                  <a:solidFill>
                    <a:schemeClr val="dk1"/>
                  </a:solidFill>
                  <a:effectLst/>
                  <a:latin typeface="+mn-lt"/>
                  <a:ea typeface="+mn-ea"/>
                  <a:cs typeface="+mn-cs"/>
                </a:rPr>
                <a:t>𝑀𝑛^(2+)</a:t>
              </a:r>
              <a:endParaRPr lang="ca-ES" sz="1100" u="sng"/>
            </a:p>
            <a:p>
              <a:r>
                <a:rPr lang="ca-ES" sz="1100" u="sng"/>
                <a:t>Patró 10 ppm</a:t>
              </a:r>
            </a:p>
            <a:p>
              <a:pPr marL="0" marR="0" lvl="0" indent="0" defTabSz="914400" eaLnBrk="1" fontAlgn="auto" latinLnBrk="0" hangingPunct="1">
                <a:lnSpc>
                  <a:spcPct val="100000"/>
                </a:lnSpc>
                <a:spcBef>
                  <a:spcPts val="0"/>
                </a:spcBef>
                <a:spcAft>
                  <a:spcPts val="0"/>
                </a:spcAft>
                <a:buClrTx/>
                <a:buSzTx/>
                <a:buFontTx/>
                <a:buNone/>
                <a:tabLst/>
                <a:defRPr/>
              </a:pPr>
              <a:r>
                <a:rPr lang="ca-ES" sz="1100" b="0" i="0">
                  <a:solidFill>
                    <a:schemeClr val="dk1"/>
                  </a:solidFill>
                  <a:effectLst/>
                  <a:latin typeface="+mn-lt"/>
                  <a:ea typeface="+mn-ea"/>
                  <a:cs typeface="+mn-cs"/>
                </a:rPr>
                <a:t>(25.0 𝑚𝐿·100</a:t>
              </a:r>
              <a:r>
                <a:rPr lang="ca-ES" sz="1100" b="0" i="0">
                  <a:solidFill>
                    <a:schemeClr val="dk1"/>
                  </a:solidFill>
                  <a:effectLst/>
                  <a:latin typeface="Cambria Math" panose="02040503050406030204" pitchFamily="18" charset="0"/>
                  <a:ea typeface="+mn-ea"/>
                  <a:cs typeface="+mn-cs"/>
                </a:rPr>
                <a:t>.</a:t>
              </a:r>
              <a:r>
                <a:rPr lang="ca-ES" sz="1100" b="0" i="0">
                  <a:solidFill>
                    <a:schemeClr val="dk1"/>
                  </a:solidFill>
                  <a:effectLst/>
                  <a:latin typeface="+mn-lt"/>
                  <a:ea typeface="+mn-ea"/>
                  <a:cs typeface="+mn-cs"/>
                </a:rPr>
                <a:t>4 𝑝𝑚 𝑀𝑛^(2+))/(250.0 𝑚𝐿)=10</a:t>
              </a:r>
              <a:r>
                <a:rPr lang="ca-ES" sz="1100" b="0" i="0">
                  <a:solidFill>
                    <a:schemeClr val="dk1"/>
                  </a:solidFill>
                  <a:effectLst/>
                  <a:latin typeface="Cambria Math" panose="02040503050406030204" pitchFamily="18" charset="0"/>
                  <a:ea typeface="+mn-ea"/>
                  <a:cs typeface="+mn-cs"/>
                </a:rPr>
                <a:t>.</a:t>
              </a:r>
              <a:r>
                <a:rPr lang="ca-ES" sz="1100" b="0" i="0">
                  <a:solidFill>
                    <a:schemeClr val="dk1"/>
                  </a:solidFill>
                  <a:effectLst/>
                  <a:latin typeface="+mn-lt"/>
                  <a:ea typeface="+mn-ea"/>
                  <a:cs typeface="+mn-cs"/>
                </a:rPr>
                <a:t>04 𝑝𝑝𝑚 𝑀𝑛^(2+)</a:t>
              </a:r>
              <a:endParaRPr lang="ca-ES">
                <a:effectLst/>
              </a:endParaRPr>
            </a:p>
            <a:p>
              <a:endParaRPr lang="ca-ES" sz="1100" u="sng"/>
            </a:p>
          </xdr:txBody>
        </xdr:sp>
      </mc:Fallback>
    </mc:AlternateContent>
    <xdr:clientData/>
  </xdr:twoCellAnchor>
  <xdr:twoCellAnchor>
    <xdr:from>
      <xdr:col>1</xdr:col>
      <xdr:colOff>76201</xdr:colOff>
      <xdr:row>38</xdr:row>
      <xdr:rowOff>152400</xdr:rowOff>
    </xdr:from>
    <xdr:to>
      <xdr:col>5</xdr:col>
      <xdr:colOff>678181</xdr:colOff>
      <xdr:row>53</xdr:row>
      <xdr:rowOff>38100</xdr:rowOff>
    </xdr:to>
    <xdr:graphicFrame macro="">
      <xdr:nvGraphicFramePr>
        <xdr:cNvPr id="13" name="Chart 2">
          <a:extLst>
            <a:ext uri="{FF2B5EF4-FFF2-40B4-BE49-F238E27FC236}">
              <a16:creationId xmlns:a16="http://schemas.microsoft.com/office/drawing/2014/main" id="{0F46C903-B556-4F75-BCBE-333E8CC75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38</xdr:row>
      <xdr:rowOff>45720</xdr:rowOff>
    </xdr:from>
    <xdr:to>
      <xdr:col>15</xdr:col>
      <xdr:colOff>457200</xdr:colOff>
      <xdr:row>52</xdr:row>
      <xdr:rowOff>121920</xdr:rowOff>
    </xdr:to>
    <xdr:graphicFrame macro="">
      <xdr:nvGraphicFramePr>
        <xdr:cNvPr id="4" name="Chart 3">
          <a:extLst>
            <a:ext uri="{FF2B5EF4-FFF2-40B4-BE49-F238E27FC236}">
              <a16:creationId xmlns:a16="http://schemas.microsoft.com/office/drawing/2014/main" id="{71F93774-FBB7-4D43-913F-6F192F6E2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692727</xdr:colOff>
      <xdr:row>54</xdr:row>
      <xdr:rowOff>166254</xdr:rowOff>
    </xdr:from>
    <xdr:to>
      <xdr:col>23</xdr:col>
      <xdr:colOff>781434</xdr:colOff>
      <xdr:row>57</xdr:row>
      <xdr:rowOff>62577</xdr:rowOff>
    </xdr:to>
    <xdr:pic>
      <xdr:nvPicPr>
        <xdr:cNvPr id="7" name="Picture 4">
          <a:extLst>
            <a:ext uri="{FF2B5EF4-FFF2-40B4-BE49-F238E27FC236}">
              <a16:creationId xmlns:a16="http://schemas.microsoft.com/office/drawing/2014/main" id="{40CE4B46-BEF0-4B30-9753-BDA6F7004D45}"/>
            </a:ext>
          </a:extLst>
        </xdr:cNvPr>
        <xdr:cNvPicPr>
          <a:picLocks noChangeAspect="1"/>
        </xdr:cNvPicPr>
      </xdr:nvPicPr>
      <xdr:blipFill>
        <a:blip xmlns:r="http://schemas.openxmlformats.org/officeDocument/2006/relationships" r:embed="rId3"/>
        <a:stretch>
          <a:fillRect/>
        </a:stretch>
      </xdr:blipFill>
      <xdr:spPr>
        <a:xfrm>
          <a:off x="19825854" y="11665527"/>
          <a:ext cx="1894647" cy="467823"/>
        </a:xfrm>
        <a:prstGeom prst="rect">
          <a:avLst/>
        </a:prstGeom>
      </xdr:spPr>
    </xdr:pic>
    <xdr:clientData/>
  </xdr:twoCellAnchor>
  <xdr:twoCellAnchor editAs="oneCell">
    <xdr:from>
      <xdr:col>21</xdr:col>
      <xdr:colOff>697695</xdr:colOff>
      <xdr:row>57</xdr:row>
      <xdr:rowOff>140954</xdr:rowOff>
    </xdr:from>
    <xdr:to>
      <xdr:col>27</xdr:col>
      <xdr:colOff>141105</xdr:colOff>
      <xdr:row>65</xdr:row>
      <xdr:rowOff>100553</xdr:rowOff>
    </xdr:to>
    <xdr:pic>
      <xdr:nvPicPr>
        <xdr:cNvPr id="8" name="Picture 5">
          <a:extLst>
            <a:ext uri="{FF2B5EF4-FFF2-40B4-BE49-F238E27FC236}">
              <a16:creationId xmlns:a16="http://schemas.microsoft.com/office/drawing/2014/main" id="{00D2350D-A527-44A2-9EA7-08C1CD7B91CC}"/>
            </a:ext>
          </a:extLst>
        </xdr:cNvPr>
        <xdr:cNvPicPr>
          <a:picLocks noChangeAspect="1"/>
        </xdr:cNvPicPr>
      </xdr:nvPicPr>
      <xdr:blipFill>
        <a:blip xmlns:r="http://schemas.openxmlformats.org/officeDocument/2006/relationships" r:embed="rId4"/>
        <a:stretch>
          <a:fillRect/>
        </a:stretch>
      </xdr:blipFill>
      <xdr:spPr>
        <a:xfrm>
          <a:off x="19830822" y="12222118"/>
          <a:ext cx="4701210" cy="1534399"/>
        </a:xfrm>
        <a:prstGeom prst="rect">
          <a:avLst/>
        </a:prstGeom>
      </xdr:spPr>
    </xdr:pic>
    <xdr:clientData/>
  </xdr:twoCellAnchor>
  <xdr:twoCellAnchor editAs="oneCell">
    <xdr:from>
      <xdr:col>11</xdr:col>
      <xdr:colOff>1706880</xdr:colOff>
      <xdr:row>88</xdr:row>
      <xdr:rowOff>88573</xdr:rowOff>
    </xdr:from>
    <xdr:to>
      <xdr:col>16</xdr:col>
      <xdr:colOff>670560</xdr:colOff>
      <xdr:row>92</xdr:row>
      <xdr:rowOff>76346</xdr:rowOff>
    </xdr:to>
    <xdr:pic>
      <xdr:nvPicPr>
        <xdr:cNvPr id="37" name="Imagen 36">
          <a:extLst>
            <a:ext uri="{FF2B5EF4-FFF2-40B4-BE49-F238E27FC236}">
              <a16:creationId xmlns:a16="http://schemas.microsoft.com/office/drawing/2014/main" id="{FB59B468-6655-D4D8-0C79-C0A10DA41B60}"/>
            </a:ext>
          </a:extLst>
        </xdr:cNvPr>
        <xdr:cNvPicPr>
          <a:picLocks noChangeAspect="1"/>
        </xdr:cNvPicPr>
      </xdr:nvPicPr>
      <xdr:blipFill>
        <a:blip xmlns:r="http://schemas.openxmlformats.org/officeDocument/2006/relationships" r:embed="rId5"/>
        <a:stretch>
          <a:fillRect/>
        </a:stretch>
      </xdr:blipFill>
      <xdr:spPr>
        <a:xfrm>
          <a:off x="14000480" y="21455053"/>
          <a:ext cx="5191760" cy="195821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25"/>
  <sheetViews>
    <sheetView showGridLines="0" zoomScaleNormal="100" workbookViewId="0">
      <selection activeCell="I94" sqref="I94"/>
    </sheetView>
  </sheetViews>
  <sheetFormatPr baseColWidth="10" defaultColWidth="11.5" defaultRowHeight="23.25" customHeight="1" x14ac:dyDescent="0.15"/>
  <cols>
    <col min="1" max="1" width="3.5" style="1" customWidth="1"/>
    <col min="2" max="2" width="8" style="1" customWidth="1"/>
    <col min="3" max="3" width="14.5" style="1" customWidth="1"/>
    <col min="4" max="5" width="12.6640625" style="1" customWidth="1"/>
    <col min="6" max="6" width="22" style="1" customWidth="1"/>
    <col min="7" max="8" width="12.6640625" style="1" customWidth="1"/>
    <col min="9" max="9" width="15" style="1" customWidth="1"/>
    <col min="10" max="10" width="18.1640625" style="1" customWidth="1"/>
    <col min="11" max="11" width="23.33203125" style="1" customWidth="1"/>
    <col min="12" max="12" width="12.33203125" style="1" bestFit="1" customWidth="1"/>
    <col min="13" max="16384" width="11.5" style="1"/>
  </cols>
  <sheetData>
    <row r="1" spans="1:10" ht="21" customHeight="1" x14ac:dyDescent="0.2">
      <c r="A1" s="3" t="s">
        <v>16</v>
      </c>
      <c r="H1" s="2" t="s">
        <v>15</v>
      </c>
      <c r="I1" s="72">
        <v>45769</v>
      </c>
    </row>
    <row r="2" spans="1:10" ht="15" customHeight="1" x14ac:dyDescent="0.15">
      <c r="A2" s="2" t="s">
        <v>0</v>
      </c>
      <c r="D2" s="1" t="s">
        <v>144</v>
      </c>
      <c r="H2" s="2" t="s">
        <v>7</v>
      </c>
      <c r="I2" s="73" t="s">
        <v>120</v>
      </c>
    </row>
    <row r="3" spans="1:10" ht="15" customHeight="1" x14ac:dyDescent="0.15">
      <c r="A3" s="2" t="s">
        <v>1</v>
      </c>
      <c r="D3" s="1" t="s">
        <v>145</v>
      </c>
    </row>
    <row r="4" spans="1:10" ht="15" customHeight="1" x14ac:dyDescent="0.15">
      <c r="A4" s="2"/>
    </row>
    <row r="5" spans="1:10" ht="15" customHeight="1" x14ac:dyDescent="0.15">
      <c r="A5" s="2" t="s">
        <v>2</v>
      </c>
    </row>
    <row r="6" spans="1:10" ht="15" customHeight="1" x14ac:dyDescent="0.15"/>
    <row r="7" spans="1:10" ht="46" customHeight="1" x14ac:dyDescent="0.15">
      <c r="B7" s="103" t="s">
        <v>164</v>
      </c>
      <c r="C7" s="103"/>
      <c r="D7" s="103"/>
      <c r="E7" s="103"/>
      <c r="F7" s="103"/>
      <c r="G7" s="103"/>
      <c r="H7" s="103"/>
    </row>
    <row r="8" spans="1:10" ht="15" customHeight="1" x14ac:dyDescent="0.15"/>
    <row r="9" spans="1:10" s="2" customFormat="1" ht="15" customHeight="1" x14ac:dyDescent="0.15">
      <c r="B9" s="2" t="s">
        <v>36</v>
      </c>
      <c r="F9" s="1"/>
      <c r="J9" s="39" t="s">
        <v>147</v>
      </c>
    </row>
    <row r="10" spans="1:10" s="2" customFormat="1" ht="15" customHeight="1" x14ac:dyDescent="0.15"/>
    <row r="11" spans="1:10" ht="15" customHeight="1" x14ac:dyDescent="0.15">
      <c r="A11" s="2" t="s">
        <v>23</v>
      </c>
      <c r="E11" s="39">
        <v>1243.8</v>
      </c>
      <c r="F11" s="39" t="s">
        <v>70</v>
      </c>
    </row>
    <row r="12" spans="1:10" ht="15" customHeight="1" x14ac:dyDescent="0.15"/>
    <row r="13" spans="1:10" ht="15" customHeight="1" x14ac:dyDescent="0.15">
      <c r="A13" s="2" t="s">
        <v>24</v>
      </c>
      <c r="E13" s="39">
        <v>0.14069999999999999</v>
      </c>
      <c r="F13" s="39" t="s">
        <v>112</v>
      </c>
    </row>
    <row r="14" spans="1:10" ht="15" customHeight="1" x14ac:dyDescent="0.15">
      <c r="A14" s="2"/>
    </row>
    <row r="15" spans="1:10" ht="15" customHeight="1" x14ac:dyDescent="0.15">
      <c r="A15" s="2" t="s">
        <v>25</v>
      </c>
    </row>
    <row r="16" spans="1:10" ht="15" customHeight="1" x14ac:dyDescent="0.15">
      <c r="A16" s="2"/>
    </row>
    <row r="17" spans="1:7" ht="15" customHeight="1" x14ac:dyDescent="0.15">
      <c r="A17" s="2"/>
    </row>
    <row r="18" spans="1:7" ht="15" customHeight="1" x14ac:dyDescent="0.15"/>
    <row r="19" spans="1:7" ht="15" customHeight="1" x14ac:dyDescent="0.15"/>
    <row r="20" spans="1:7" ht="15" customHeight="1" x14ac:dyDescent="0.15"/>
    <row r="21" spans="1:7" ht="15" customHeight="1" x14ac:dyDescent="0.15">
      <c r="C21" s="4"/>
      <c r="D21" s="4"/>
    </row>
    <row r="22" spans="1:7" ht="15" customHeight="1" x14ac:dyDescent="0.15"/>
    <row r="23" spans="1:7" ht="15" customHeight="1" x14ac:dyDescent="0.15"/>
    <row r="24" spans="1:7" ht="15" customHeight="1" x14ac:dyDescent="0.15"/>
    <row r="25" spans="1:7" ht="15" customHeight="1" x14ac:dyDescent="0.15"/>
    <row r="26" spans="1:7" ht="15" customHeight="1" x14ac:dyDescent="0.15"/>
    <row r="27" spans="1:7" ht="15" customHeight="1" x14ac:dyDescent="0.15"/>
    <row r="28" spans="1:7" ht="15" customHeight="1" x14ac:dyDescent="0.15"/>
    <row r="29" spans="1:7" ht="15" customHeight="1" x14ac:dyDescent="0.15"/>
    <row r="30" spans="1:7" ht="15" customHeight="1" x14ac:dyDescent="0.15">
      <c r="A30" s="2" t="s">
        <v>26</v>
      </c>
      <c r="B30" s="2"/>
      <c r="C30" s="2"/>
      <c r="D30" s="2"/>
      <c r="E30" s="2"/>
      <c r="F30" s="39">
        <f>0.04007*25/50</f>
        <v>2.0035000000000004E-2</v>
      </c>
      <c r="G30" s="39" t="s">
        <v>82</v>
      </c>
    </row>
    <row r="31" spans="1:7" ht="15" customHeight="1" x14ac:dyDescent="0.15"/>
    <row r="32" spans="1:7" ht="15" customHeight="1" x14ac:dyDescent="0.15"/>
    <row r="33" spans="1:11" ht="15" customHeight="1" x14ac:dyDescent="0.15">
      <c r="A33" s="2" t="s">
        <v>34</v>
      </c>
      <c r="G33" s="39">
        <f>5*10^(-3)/100</f>
        <v>5.0000000000000002E-5</v>
      </c>
      <c r="H33" s="39" t="s">
        <v>113</v>
      </c>
    </row>
    <row r="34" spans="1:11" ht="15" customHeight="1" x14ac:dyDescent="0.15">
      <c r="A34" s="2"/>
      <c r="G34" s="39" t="s">
        <v>148</v>
      </c>
      <c r="H34" s="39"/>
      <c r="I34" s="39"/>
      <c r="J34" s="39"/>
    </row>
    <row r="35" spans="1:11" ht="15" customHeight="1" x14ac:dyDescent="0.15"/>
    <row r="36" spans="1:11" ht="15" customHeight="1" x14ac:dyDescent="0.15">
      <c r="A36" s="2" t="s">
        <v>3</v>
      </c>
      <c r="F36" s="39" t="s">
        <v>114</v>
      </c>
      <c r="G36" s="39"/>
      <c r="H36" s="39"/>
      <c r="I36" s="39"/>
      <c r="J36" s="39"/>
      <c r="K36" s="39"/>
    </row>
    <row r="37" spans="1:11" ht="15" customHeight="1" x14ac:dyDescent="0.15"/>
    <row r="38" spans="1:11" ht="15" customHeight="1" x14ac:dyDescent="0.15">
      <c r="A38" s="2" t="s">
        <v>27</v>
      </c>
    </row>
    <row r="39" spans="1:11" ht="15" customHeight="1" thickBot="1" x14ac:dyDescent="0.2"/>
    <row r="40" spans="1:11" ht="57" customHeight="1" thickBot="1" x14ac:dyDescent="0.2">
      <c r="C40" s="5" t="s">
        <v>6</v>
      </c>
      <c r="D40" s="6" t="s">
        <v>5</v>
      </c>
      <c r="E40" s="6" t="s">
        <v>33</v>
      </c>
      <c r="F40" s="48" t="s">
        <v>4</v>
      </c>
      <c r="G40" s="110" t="s">
        <v>84</v>
      </c>
      <c r="H40" s="110"/>
      <c r="I40" s="110"/>
      <c r="J40" s="110"/>
    </row>
    <row r="41" spans="1:11" ht="15" customHeight="1" thickBot="1" x14ac:dyDescent="0.25">
      <c r="C41" s="76">
        <v>1</v>
      </c>
      <c r="D41" s="77">
        <v>1</v>
      </c>
      <c r="E41" s="78">
        <f>$F$30*C41/25</f>
        <v>8.0140000000000018E-4</v>
      </c>
      <c r="F41" s="74">
        <v>0.159</v>
      </c>
      <c r="G41" s="53" t="s">
        <v>85</v>
      </c>
      <c r="H41" s="81" cm="1">
        <f t="array" ref="H41:I45">LINEST(F41:F45,E41:E45,1,1)</f>
        <v>190.41677065136008</v>
      </c>
      <c r="I41" s="80">
        <v>1.100000000000001E-2</v>
      </c>
      <c r="J41" t="s">
        <v>90</v>
      </c>
    </row>
    <row r="42" spans="1:11" ht="15" customHeight="1" thickBot="1" x14ac:dyDescent="0.25">
      <c r="C42" s="76">
        <v>2</v>
      </c>
      <c r="D42" s="77">
        <v>1</v>
      </c>
      <c r="E42" s="102">
        <f t="shared" ref="E42:E45" si="0">$F$30*C42/25</f>
        <v>1.6028000000000004E-3</v>
      </c>
      <c r="F42" s="74">
        <v>0.32200000000000001</v>
      </c>
      <c r="G42" s="53" t="s">
        <v>86</v>
      </c>
      <c r="H42" s="81">
        <v>1.7528747613098328</v>
      </c>
      <c r="I42" s="80">
        <v>4.659041389241645E-3</v>
      </c>
      <c r="J42" t="s">
        <v>91</v>
      </c>
    </row>
    <row r="43" spans="1:11" ht="16" thickBot="1" x14ac:dyDescent="0.25">
      <c r="C43" s="76">
        <v>3</v>
      </c>
      <c r="D43" s="77">
        <v>1</v>
      </c>
      <c r="E43" s="102">
        <f t="shared" si="0"/>
        <v>2.4042000000000004E-3</v>
      </c>
      <c r="F43" s="74">
        <v>0.47</v>
      </c>
      <c r="G43" s="41" t="s">
        <v>87</v>
      </c>
      <c r="H43" s="80">
        <v>0.99974584290000112</v>
      </c>
      <c r="I43" s="80">
        <v>4.4422216663887208E-3</v>
      </c>
      <c r="J43" t="s">
        <v>92</v>
      </c>
    </row>
    <row r="44" spans="1:11" ht="15" customHeight="1" thickBot="1" x14ac:dyDescent="0.25">
      <c r="C44" s="76">
        <v>4</v>
      </c>
      <c r="D44" s="77">
        <v>1</v>
      </c>
      <c r="E44" s="102">
        <f t="shared" si="0"/>
        <v>3.2056000000000007E-3</v>
      </c>
      <c r="F44" s="74">
        <v>0.62</v>
      </c>
      <c r="G44" s="53" t="s">
        <v>88</v>
      </c>
      <c r="H44" s="81">
        <v>11800.722972972944</v>
      </c>
      <c r="I44">
        <v>3</v>
      </c>
      <c r="J44" t="s">
        <v>93</v>
      </c>
    </row>
    <row r="45" spans="1:11" ht="15" customHeight="1" thickBot="1" x14ac:dyDescent="0.25">
      <c r="C45" s="76">
        <v>5</v>
      </c>
      <c r="D45" s="77">
        <v>1</v>
      </c>
      <c r="E45" s="102">
        <f t="shared" si="0"/>
        <v>4.0070000000000001E-3</v>
      </c>
      <c r="F45" s="75">
        <v>0.77300000000000002</v>
      </c>
      <c r="G45" s="53" t="s">
        <v>89</v>
      </c>
      <c r="H45" s="79">
        <v>0.23286759999999998</v>
      </c>
      <c r="I45" s="52">
        <v>5.9200000000000138E-5</v>
      </c>
      <c r="J45" t="s">
        <v>94</v>
      </c>
    </row>
    <row r="46" spans="1:11" ht="15" customHeight="1" x14ac:dyDescent="0.15"/>
    <row r="47" spans="1:11" ht="15" customHeight="1" x14ac:dyDescent="0.15">
      <c r="A47" s="2" t="s">
        <v>14</v>
      </c>
    </row>
    <row r="48" spans="1:11" ht="15" customHeight="1" x14ac:dyDescent="0.15"/>
    <row r="49" spans="1:15" ht="15" customHeight="1" x14ac:dyDescent="0.15">
      <c r="A49" s="2"/>
    </row>
    <row r="50" spans="1:15" ht="15" customHeight="1" x14ac:dyDescent="0.15"/>
    <row r="51" spans="1:15" ht="15" customHeight="1" x14ac:dyDescent="0.15"/>
    <row r="52" spans="1:15" ht="15" customHeight="1" x14ac:dyDescent="0.15"/>
    <row r="53" spans="1:15" ht="15" customHeight="1" x14ac:dyDescent="0.15">
      <c r="C53" s="4"/>
      <c r="D53" s="4"/>
    </row>
    <row r="54" spans="1:15" ht="15" customHeight="1" x14ac:dyDescent="0.15"/>
    <row r="55" spans="1:15" ht="15" customHeight="1" x14ac:dyDescent="0.15"/>
    <row r="56" spans="1:15" ht="15" customHeight="1" x14ac:dyDescent="0.15"/>
    <row r="57" spans="1:15" ht="15" customHeight="1" x14ac:dyDescent="0.15"/>
    <row r="58" spans="1:15" ht="15" customHeight="1" x14ac:dyDescent="0.15"/>
    <row r="59" spans="1:15" ht="15" customHeight="1" x14ac:dyDescent="0.15"/>
    <row r="60" spans="1:15" ht="15" customHeight="1" x14ac:dyDescent="0.15"/>
    <row r="61" spans="1:15" ht="15" customHeight="1" x14ac:dyDescent="0.15">
      <c r="A61" s="2" t="s">
        <v>8</v>
      </c>
      <c r="H61" s="1" t="s">
        <v>116</v>
      </c>
    </row>
    <row r="62" spans="1:15" ht="15" customHeight="1" x14ac:dyDescent="0.15">
      <c r="A62" s="2" t="s">
        <v>10</v>
      </c>
      <c r="H62" s="1" t="s">
        <v>117</v>
      </c>
      <c r="M62" s="54">
        <f>25*E43/(G33*10^3)</f>
        <v>1.2021000000000002</v>
      </c>
      <c r="N62" s="39" t="s">
        <v>118</v>
      </c>
      <c r="O62" s="1" t="s">
        <v>119</v>
      </c>
    </row>
    <row r="63" spans="1:15" ht="15" customHeight="1" x14ac:dyDescent="0.15"/>
    <row r="64" spans="1:15" ht="15" customHeight="1" x14ac:dyDescent="0.15">
      <c r="A64" s="2" t="s">
        <v>9</v>
      </c>
      <c r="D64" s="82">
        <v>1.2</v>
      </c>
      <c r="E64" s="1" t="s">
        <v>118</v>
      </c>
    </row>
    <row r="65" spans="1:12" ht="15" customHeight="1" x14ac:dyDescent="0.15"/>
    <row r="66" spans="1:12" ht="15" customHeight="1" x14ac:dyDescent="0.15">
      <c r="A66" s="2" t="s">
        <v>11</v>
      </c>
      <c r="E66" s="82">
        <v>5.3999999999999999E-2</v>
      </c>
    </row>
    <row r="67" spans="1:12" ht="15" customHeight="1" x14ac:dyDescent="0.15"/>
    <row r="68" spans="1:12" ht="15" customHeight="1" x14ac:dyDescent="0.15">
      <c r="A68" s="2" t="s">
        <v>12</v>
      </c>
      <c r="E68" s="82">
        <v>0.54100000000000004</v>
      </c>
    </row>
    <row r="69" spans="1:12" ht="15" customHeight="1" x14ac:dyDescent="0.15">
      <c r="E69" s="83"/>
    </row>
    <row r="70" spans="1:12" ht="15" customHeight="1" x14ac:dyDescent="0.15">
      <c r="A70" s="2" t="s">
        <v>13</v>
      </c>
      <c r="B70" s="2"/>
      <c r="E70" s="82">
        <f>E68-E66</f>
        <v>0.48700000000000004</v>
      </c>
    </row>
    <row r="71" spans="1:12" ht="15" customHeight="1" x14ac:dyDescent="0.15"/>
    <row r="72" spans="1:12" ht="15" customHeight="1" thickBot="1" x14ac:dyDescent="0.2">
      <c r="A72" s="2" t="s">
        <v>28</v>
      </c>
    </row>
    <row r="73" spans="1:12" ht="34" customHeight="1" thickBot="1" x14ac:dyDescent="0.2">
      <c r="K73" s="5" t="s">
        <v>33</v>
      </c>
      <c r="L73" s="48" t="s">
        <v>4</v>
      </c>
    </row>
    <row r="74" spans="1:12" ht="15" customHeight="1" thickBot="1" x14ac:dyDescent="0.25">
      <c r="K74" s="55">
        <f>E41</f>
        <v>8.0140000000000018E-4</v>
      </c>
      <c r="L74" s="50">
        <v>0.159</v>
      </c>
    </row>
    <row r="75" spans="1:12" ht="15" customHeight="1" thickBot="1" x14ac:dyDescent="0.25">
      <c r="K75" s="55">
        <f t="shared" ref="K75:K78" si="1">E42</f>
        <v>1.6028000000000004E-3</v>
      </c>
      <c r="L75" s="50">
        <v>0.32200000000000001</v>
      </c>
    </row>
    <row r="76" spans="1:12" ht="15" customHeight="1" thickBot="1" x14ac:dyDescent="0.25">
      <c r="K76" s="55">
        <f t="shared" si="1"/>
        <v>2.4042000000000004E-3</v>
      </c>
      <c r="L76" s="50">
        <v>0.47</v>
      </c>
    </row>
    <row r="77" spans="1:12" ht="15" customHeight="1" thickBot="1" x14ac:dyDescent="0.25">
      <c r="K77" s="55">
        <f t="shared" si="1"/>
        <v>3.2056000000000007E-3</v>
      </c>
      <c r="L77" s="50">
        <v>0.62</v>
      </c>
    </row>
    <row r="78" spans="1:12" ht="15" customHeight="1" thickBot="1" x14ac:dyDescent="0.25">
      <c r="K78" s="55">
        <f t="shared" si="1"/>
        <v>4.0070000000000001E-3</v>
      </c>
      <c r="L78" s="51">
        <v>0.77300000000000002</v>
      </c>
    </row>
    <row r="79" spans="1:12" ht="84" customHeight="1" x14ac:dyDescent="0.15"/>
    <row r="80" spans="1:12" ht="92" customHeight="1" x14ac:dyDescent="0.15"/>
    <row r="81" spans="1:12" ht="64" customHeight="1" x14ac:dyDescent="0.15"/>
    <row r="82" spans="1:12" ht="15" customHeight="1" x14ac:dyDescent="0.15"/>
    <row r="83" spans="1:12" ht="15" customHeight="1" x14ac:dyDescent="0.15"/>
    <row r="84" spans="1:12" ht="15" customHeight="1" x14ac:dyDescent="0.15"/>
    <row r="85" spans="1:12" ht="15" customHeight="1" x14ac:dyDescent="0.15"/>
    <row r="86" spans="1:12" ht="15" customHeight="1" x14ac:dyDescent="0.15"/>
    <row r="87" spans="1:12" ht="15" customHeight="1" x14ac:dyDescent="0.15"/>
    <row r="88" spans="1:12" ht="15" customHeight="1" x14ac:dyDescent="0.15">
      <c r="A88" s="2" t="s">
        <v>30</v>
      </c>
      <c r="G88" s="56">
        <f>(E70-I41)/H41</f>
        <v>2.4997798165137621E-3</v>
      </c>
      <c r="H88" s="39" t="s">
        <v>82</v>
      </c>
    </row>
    <row r="89" spans="1:12" ht="15" customHeight="1" x14ac:dyDescent="0.15"/>
    <row r="90" spans="1:12" ht="15" customHeight="1" x14ac:dyDescent="0.15">
      <c r="K90" s="57" t="s">
        <v>105</v>
      </c>
      <c r="L90" s="27">
        <f>AVERAGE(F41:F45)</f>
        <v>0.46879999999999999</v>
      </c>
    </row>
    <row r="91" spans="1:12" ht="15" customHeight="1" x14ac:dyDescent="0.15">
      <c r="A91" s="2" t="s">
        <v>35</v>
      </c>
      <c r="G91" s="56">
        <f>L93*L92</f>
        <v>8.1377432764005624E-5</v>
      </c>
      <c r="H91" s="39" t="s">
        <v>82</v>
      </c>
      <c r="K91" s="57" t="s">
        <v>121</v>
      </c>
      <c r="L91" s="86">
        <f>VARPA(K74:K78)*5</f>
        <v>6.4224195999999996E-6</v>
      </c>
    </row>
    <row r="92" spans="1:12" ht="15" customHeight="1" x14ac:dyDescent="0.15">
      <c r="A92" s="2"/>
      <c r="K92" s="57" t="s">
        <v>122</v>
      </c>
      <c r="L92" s="86">
        <f>I43/H41*SQRT(1+1/5+((E70-L90)^2)/(H41^2*L91))</f>
        <v>2.5570716661863985E-5</v>
      </c>
    </row>
    <row r="93" spans="1:12" ht="15" customHeight="1" x14ac:dyDescent="0.15">
      <c r="K93" s="57" t="s">
        <v>107</v>
      </c>
      <c r="L93" s="27">
        <f>_xlfn.T.INV.2T(0.05,I44)</f>
        <v>3.1824463052837091</v>
      </c>
    </row>
    <row r="94" spans="1:12" ht="20" customHeight="1" x14ac:dyDescent="0.15">
      <c r="A94" s="2" t="s">
        <v>149</v>
      </c>
      <c r="G94" s="85">
        <f>G88*25/D64*100</f>
        <v>5.2078746177370041</v>
      </c>
      <c r="H94" s="84" t="s">
        <v>123</v>
      </c>
      <c r="I94" s="85">
        <f>G91*25/D64*100</f>
        <v>0.16953631825834509</v>
      </c>
      <c r="J94" s="82" t="s">
        <v>124</v>
      </c>
    </row>
    <row r="95" spans="1:12" ht="15" customHeight="1" x14ac:dyDescent="0.15"/>
    <row r="96" spans="1:12" ht="15" customHeight="1" x14ac:dyDescent="0.15">
      <c r="A96" s="2"/>
    </row>
    <row r="97" spans="1:10" ht="15" customHeight="1" x14ac:dyDescent="0.15">
      <c r="A97" s="2" t="s">
        <v>39</v>
      </c>
    </row>
    <row r="98" spans="1:10" ht="15" customHeight="1" x14ac:dyDescent="0.15">
      <c r="A98" s="2"/>
    </row>
    <row r="99" spans="1:10" ht="57" customHeight="1" x14ac:dyDescent="0.2">
      <c r="A99" s="2"/>
      <c r="B99" s="111" t="s">
        <v>150</v>
      </c>
      <c r="C99" s="111"/>
      <c r="D99" s="111"/>
      <c r="E99" s="111"/>
      <c r="F99" s="111"/>
      <c r="G99" s="111"/>
      <c r="H99" s="111"/>
      <c r="I99" s="111"/>
      <c r="J99" s="58"/>
    </row>
    <row r="100" spans="1:10" ht="15" customHeight="1" x14ac:dyDescent="0.15">
      <c r="A100" s="2"/>
    </row>
    <row r="101" spans="1:10" ht="15" customHeight="1" x14ac:dyDescent="0.15"/>
    <row r="102" spans="1:10" ht="15" customHeight="1" x14ac:dyDescent="0.15">
      <c r="A102" s="2" t="s">
        <v>40</v>
      </c>
    </row>
    <row r="103" spans="1:10" ht="15" customHeight="1" x14ac:dyDescent="0.15">
      <c r="B103" s="2" t="s">
        <v>38</v>
      </c>
    </row>
    <row r="104" spans="1:10" ht="15" customHeight="1" thickBot="1" x14ac:dyDescent="0.2"/>
    <row r="105" spans="1:10" ht="58" customHeight="1" x14ac:dyDescent="0.15">
      <c r="C105" s="8" t="s">
        <v>22</v>
      </c>
      <c r="D105" s="9" t="s">
        <v>18</v>
      </c>
      <c r="E105" s="9" t="s">
        <v>29</v>
      </c>
      <c r="F105" s="9" t="s">
        <v>19</v>
      </c>
      <c r="G105" s="9" t="s">
        <v>20</v>
      </c>
      <c r="H105" s="10" t="s">
        <v>21</v>
      </c>
    </row>
    <row r="106" spans="1:10" ht="15" customHeight="1" x14ac:dyDescent="0.15">
      <c r="C106" s="11" t="s">
        <v>120</v>
      </c>
      <c r="D106" s="87">
        <f>G94</f>
        <v>5.2078746177370041</v>
      </c>
      <c r="E106" s="87">
        <f>I94</f>
        <v>0.16953631825834509</v>
      </c>
      <c r="F106" s="104">
        <f>AVERAGE(D106:D109)</f>
        <v>5.0339712296842514</v>
      </c>
      <c r="G106" s="106">
        <f>STDEV(D106:D109)</f>
        <v>0.16401392015758456</v>
      </c>
      <c r="H106" s="108">
        <f>G106/F106*100</f>
        <v>3.2581417865566968</v>
      </c>
    </row>
    <row r="107" spans="1:10" ht="15" customHeight="1" x14ac:dyDescent="0.15">
      <c r="C107" s="11" t="s">
        <v>125</v>
      </c>
      <c r="D107" s="87">
        <v>5.01</v>
      </c>
      <c r="E107" s="87">
        <v>0.4</v>
      </c>
      <c r="F107" s="104"/>
      <c r="G107" s="106"/>
      <c r="H107" s="108"/>
    </row>
    <row r="108" spans="1:10" ht="15" customHeight="1" x14ac:dyDescent="0.15">
      <c r="C108" s="11" t="s">
        <v>126</v>
      </c>
      <c r="D108" s="87">
        <v>4.82</v>
      </c>
      <c r="E108" s="87">
        <v>0.59</v>
      </c>
      <c r="F108" s="104"/>
      <c r="G108" s="106"/>
      <c r="H108" s="108"/>
    </row>
    <row r="109" spans="1:10" ht="15" customHeight="1" x14ac:dyDescent="0.15">
      <c r="C109" s="11" t="s">
        <v>127</v>
      </c>
      <c r="D109" s="87">
        <v>5.0980103010000004</v>
      </c>
      <c r="E109" s="87">
        <v>0.32537533400000002</v>
      </c>
      <c r="F109" s="104"/>
      <c r="G109" s="106"/>
      <c r="H109" s="108"/>
    </row>
    <row r="110" spans="1:10" ht="15" customHeight="1" x14ac:dyDescent="0.15">
      <c r="C110" s="11"/>
      <c r="D110" s="7"/>
      <c r="E110" s="7"/>
      <c r="F110" s="104"/>
      <c r="G110" s="106"/>
      <c r="H110" s="108"/>
    </row>
    <row r="111" spans="1:10" ht="15" customHeight="1" x14ac:dyDescent="0.15">
      <c r="C111" s="11"/>
      <c r="D111" s="7"/>
      <c r="E111" s="7"/>
      <c r="F111" s="104"/>
      <c r="G111" s="106"/>
      <c r="H111" s="108"/>
    </row>
    <row r="112" spans="1:10" ht="15" customHeight="1" x14ac:dyDescent="0.15">
      <c r="C112" s="11"/>
      <c r="D112" s="7"/>
      <c r="E112" s="7"/>
      <c r="F112" s="104"/>
      <c r="G112" s="106"/>
      <c r="H112" s="108"/>
    </row>
    <row r="113" spans="1:10" ht="15" customHeight="1" thickBot="1" x14ac:dyDescent="0.2">
      <c r="C113" s="12"/>
      <c r="D113" s="13"/>
      <c r="E113" s="13"/>
      <c r="F113" s="105"/>
      <c r="G113" s="107"/>
      <c r="H113" s="109"/>
    </row>
    <row r="115" spans="1:10" s="2" customFormat="1" ht="23.25" customHeight="1" x14ac:dyDescent="0.15">
      <c r="A115" s="2" t="s">
        <v>41</v>
      </c>
    </row>
    <row r="117" spans="1:10" ht="23.25" customHeight="1" x14ac:dyDescent="0.15">
      <c r="B117" s="103" t="s">
        <v>165</v>
      </c>
      <c r="C117" s="103"/>
      <c r="D117" s="103"/>
      <c r="E117" s="103"/>
      <c r="F117" s="103"/>
      <c r="G117" s="103"/>
      <c r="H117" s="103"/>
    </row>
    <row r="118" spans="1:10" ht="23.25" customHeight="1" x14ac:dyDescent="0.25">
      <c r="B118" s="103"/>
      <c r="C118" s="103"/>
      <c r="D118" s="103"/>
      <c r="E118" s="103"/>
      <c r="F118" s="103"/>
      <c r="G118" s="103"/>
      <c r="H118" s="103"/>
      <c r="J118" s="61"/>
    </row>
    <row r="119" spans="1:10" ht="23.25" customHeight="1" x14ac:dyDescent="0.15">
      <c r="B119" s="103"/>
      <c r="C119" s="103"/>
      <c r="D119" s="103"/>
      <c r="E119" s="103"/>
      <c r="F119" s="103"/>
      <c r="G119" s="103"/>
      <c r="H119" s="103"/>
    </row>
    <row r="120" spans="1:10" ht="23.25" customHeight="1" x14ac:dyDescent="0.15">
      <c r="B120" s="103"/>
      <c r="C120" s="103"/>
      <c r="D120" s="103"/>
      <c r="E120" s="103"/>
      <c r="F120" s="103"/>
      <c r="G120" s="103"/>
      <c r="H120" s="103"/>
    </row>
    <row r="121" spans="1:10" ht="23.25" customHeight="1" x14ac:dyDescent="0.15">
      <c r="B121" s="103"/>
      <c r="C121" s="103"/>
      <c r="D121" s="103"/>
      <c r="E121" s="103"/>
      <c r="F121" s="103"/>
      <c r="G121" s="103"/>
      <c r="H121" s="103"/>
    </row>
    <row r="122" spans="1:10" ht="23.25" customHeight="1" x14ac:dyDescent="0.15">
      <c r="B122" s="103"/>
      <c r="C122" s="103"/>
      <c r="D122" s="103"/>
      <c r="E122" s="103"/>
      <c r="F122" s="103"/>
      <c r="G122" s="103"/>
      <c r="H122" s="103"/>
    </row>
    <row r="124" spans="1:10" s="14" customFormat="1" ht="23.25" customHeight="1" x14ac:dyDescent="0.15">
      <c r="B124" s="14" t="s">
        <v>31</v>
      </c>
    </row>
    <row r="125" spans="1:10" s="14" customFormat="1" ht="16.5" customHeight="1" x14ac:dyDescent="0.15">
      <c r="B125" s="14" t="s">
        <v>32</v>
      </c>
    </row>
  </sheetData>
  <mergeCells count="7">
    <mergeCell ref="B7:H7"/>
    <mergeCell ref="B117:H122"/>
    <mergeCell ref="F106:F113"/>
    <mergeCell ref="G106:G113"/>
    <mergeCell ref="H106:H113"/>
    <mergeCell ref="G40:J40"/>
    <mergeCell ref="B99:I99"/>
  </mergeCells>
  <phoneticPr fontId="4" type="noConversion"/>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119"/>
  <sheetViews>
    <sheetView showGridLines="0" tabSelected="1" zoomScale="113" zoomScaleNormal="85" workbookViewId="0">
      <selection activeCell="Q46" sqref="Q46:R48"/>
    </sheetView>
  </sheetViews>
  <sheetFormatPr baseColWidth="10" defaultColWidth="11.5" defaultRowHeight="23.25" customHeight="1" x14ac:dyDescent="0.15"/>
  <cols>
    <col min="1" max="1" width="2.5" style="1" customWidth="1"/>
    <col min="2" max="2" width="17.6640625" style="1" customWidth="1"/>
    <col min="3" max="3" width="23.33203125" style="1" customWidth="1"/>
    <col min="4" max="5" width="12.6640625" style="1" customWidth="1"/>
    <col min="6" max="6" width="14.1640625" style="1" customWidth="1"/>
    <col min="7" max="7" width="22.1640625" style="1" customWidth="1"/>
    <col min="8" max="8" width="19.1640625" style="1" customWidth="1"/>
    <col min="9" max="9" width="15" style="1" customWidth="1"/>
    <col min="10" max="10" width="10.6640625" style="1" customWidth="1"/>
    <col min="11" max="11" width="14.5" style="1" customWidth="1"/>
    <col min="12" max="12" width="23.83203125" style="1" customWidth="1"/>
    <col min="13" max="13" width="16.5" style="1" customWidth="1"/>
    <col min="14" max="14" width="18.33203125" style="1" customWidth="1"/>
    <col min="15" max="21" width="11.5" style="1"/>
    <col min="22" max="22" width="21.33203125" style="1" customWidth="1"/>
    <col min="23" max="16384" width="11.5" style="1"/>
  </cols>
  <sheetData>
    <row r="1" spans="1:12" ht="21" customHeight="1" x14ac:dyDescent="0.2">
      <c r="A1" s="3" t="s">
        <v>17</v>
      </c>
      <c r="E1" s="2" t="s">
        <v>15</v>
      </c>
      <c r="F1" s="71">
        <v>45769</v>
      </c>
    </row>
    <row r="2" spans="1:12" ht="15" customHeight="1" x14ac:dyDescent="0.2">
      <c r="A2" s="2" t="s">
        <v>0</v>
      </c>
      <c r="C2" s="70" t="s">
        <v>144</v>
      </c>
      <c r="E2" s="2" t="s">
        <v>7</v>
      </c>
      <c r="F2" s="70" t="s">
        <v>146</v>
      </c>
    </row>
    <row r="3" spans="1:12" ht="15" customHeight="1" x14ac:dyDescent="0.2">
      <c r="A3" s="2" t="s">
        <v>1</v>
      </c>
      <c r="C3" s="70" t="s">
        <v>145</v>
      </c>
    </row>
    <row r="4" spans="1:12" ht="15" customHeight="1" x14ac:dyDescent="0.15">
      <c r="A4" s="2"/>
    </row>
    <row r="5" spans="1:12" ht="15" customHeight="1" x14ac:dyDescent="0.15">
      <c r="A5" s="2" t="s">
        <v>52</v>
      </c>
    </row>
    <row r="6" spans="1:12" ht="44.5" customHeight="1" x14ac:dyDescent="0.15">
      <c r="A6" s="2"/>
      <c r="B6" s="113" t="s">
        <v>166</v>
      </c>
      <c r="C6" s="113"/>
      <c r="D6" s="113"/>
      <c r="E6" s="113"/>
      <c r="F6" s="113"/>
      <c r="G6" s="113"/>
      <c r="H6" s="113"/>
      <c r="I6" s="113"/>
      <c r="J6" s="113"/>
      <c r="K6" s="113"/>
      <c r="L6" s="113"/>
    </row>
    <row r="7" spans="1:12" ht="15" customHeight="1" x14ac:dyDescent="0.15">
      <c r="A7" s="2"/>
    </row>
    <row r="8" spans="1:12" ht="15" customHeight="1" x14ac:dyDescent="0.15">
      <c r="A8" s="2" t="s">
        <v>60</v>
      </c>
      <c r="D8" s="39">
        <v>0.77259999999999995</v>
      </c>
      <c r="E8" s="39" t="s">
        <v>112</v>
      </c>
    </row>
    <row r="9" spans="1:12" ht="15" customHeight="1" x14ac:dyDescent="0.15">
      <c r="A9" s="2"/>
    </row>
    <row r="10" spans="1:12" ht="15" customHeight="1" x14ac:dyDescent="0.15">
      <c r="A10" s="2" t="s">
        <v>61</v>
      </c>
    </row>
    <row r="11" spans="1:12" ht="15" customHeight="1" x14ac:dyDescent="0.15">
      <c r="A11" s="2"/>
    </row>
    <row r="12" spans="1:12" ht="15" customHeight="1" x14ac:dyDescent="0.15">
      <c r="A12" s="2"/>
    </row>
    <row r="13" spans="1:12" ht="15" customHeight="1" x14ac:dyDescent="0.15">
      <c r="A13" s="2"/>
    </row>
    <row r="14" spans="1:12" ht="15" customHeight="1" x14ac:dyDescent="0.15">
      <c r="A14" s="2"/>
    </row>
    <row r="15" spans="1:12" ht="15" customHeight="1" x14ac:dyDescent="0.15">
      <c r="A15" s="2"/>
    </row>
    <row r="16" spans="1:12" ht="15" customHeight="1" x14ac:dyDescent="0.15">
      <c r="A16" s="2"/>
    </row>
    <row r="17" spans="1:17" ht="15" customHeight="1" x14ac:dyDescent="0.15">
      <c r="A17" s="2"/>
    </row>
    <row r="18" spans="1:17" ht="15" customHeight="1" x14ac:dyDescent="0.15">
      <c r="A18" s="2"/>
    </row>
    <row r="19" spans="1:17" ht="15" customHeight="1" x14ac:dyDescent="0.15">
      <c r="A19" s="2"/>
    </row>
    <row r="20" spans="1:17" ht="15" customHeight="1" x14ac:dyDescent="0.15">
      <c r="A20" s="2"/>
    </row>
    <row r="21" spans="1:17" ht="15" customHeight="1" x14ac:dyDescent="0.15">
      <c r="A21" s="2"/>
    </row>
    <row r="22" spans="1:17" ht="15" customHeight="1" x14ac:dyDescent="0.15">
      <c r="A22" s="2"/>
    </row>
    <row r="23" spans="1:17" ht="15" customHeight="1" x14ac:dyDescent="0.15"/>
    <row r="24" spans="1:17" ht="15" customHeight="1" x14ac:dyDescent="0.15">
      <c r="A24" s="2" t="s">
        <v>62</v>
      </c>
      <c r="F24" s="39">
        <f>2*10^(-3)/100</f>
        <v>2.0000000000000002E-5</v>
      </c>
      <c r="G24" s="39" t="s">
        <v>151</v>
      </c>
      <c r="H24" s="39" t="s">
        <v>115</v>
      </c>
      <c r="I24" s="39"/>
      <c r="J24" s="39"/>
      <c r="K24" s="39"/>
    </row>
    <row r="25" spans="1:17" ht="15" customHeight="1" x14ac:dyDescent="0.15">
      <c r="A25" s="2"/>
    </row>
    <row r="26" spans="1:17" ht="15" customHeight="1" x14ac:dyDescent="0.15">
      <c r="N26" s="1" t="s">
        <v>66</v>
      </c>
      <c r="O26" s="1">
        <v>169.02</v>
      </c>
      <c r="P26" s="1" t="s">
        <v>67</v>
      </c>
    </row>
    <row r="27" spans="1:17" ht="15" customHeight="1" x14ac:dyDescent="0.15">
      <c r="A27" s="2" t="s">
        <v>63</v>
      </c>
      <c r="N27" s="1" t="s">
        <v>68</v>
      </c>
      <c r="O27" s="21">
        <v>54.938000000000002</v>
      </c>
      <c r="P27" s="1" t="s">
        <v>67</v>
      </c>
    </row>
    <row r="28" spans="1:17" ht="15" customHeight="1" x14ac:dyDescent="0.15"/>
    <row r="29" spans="1:17" ht="28.25" customHeight="1" x14ac:dyDescent="0.15">
      <c r="B29" s="20" t="s">
        <v>83</v>
      </c>
      <c r="C29" s="19" t="s">
        <v>43</v>
      </c>
      <c r="D29" s="19" t="s">
        <v>42</v>
      </c>
      <c r="E29" s="19" t="s">
        <v>65</v>
      </c>
      <c r="F29" s="89" t="s">
        <v>134</v>
      </c>
      <c r="H29" s="20" t="s">
        <v>64</v>
      </c>
      <c r="I29" s="116" t="s">
        <v>53</v>
      </c>
      <c r="J29" s="117"/>
      <c r="K29" s="19" t="s">
        <v>42</v>
      </c>
      <c r="L29" s="19" t="s">
        <v>65</v>
      </c>
      <c r="N29" s="1" t="s">
        <v>69</v>
      </c>
      <c r="O29" s="1">
        <v>772.6</v>
      </c>
      <c r="P29" s="1" t="s">
        <v>70</v>
      </c>
      <c r="Q29" s="1" t="s">
        <v>152</v>
      </c>
    </row>
    <row r="30" spans="1:17" ht="23.25" customHeight="1" x14ac:dyDescent="0.15">
      <c r="B30" s="29">
        <v>1</v>
      </c>
      <c r="C30" s="30">
        <f>$D$37*B30/25</f>
        <v>0.80140000000000011</v>
      </c>
      <c r="D30" s="19">
        <v>7.2300000000000003E-2</v>
      </c>
      <c r="E30" s="19">
        <v>3.4</v>
      </c>
      <c r="F30" s="89">
        <f>C30/1000</f>
        <v>8.0140000000000007E-4</v>
      </c>
      <c r="G30" s="28"/>
      <c r="H30" s="31">
        <v>2</v>
      </c>
      <c r="I30" s="32">
        <f>$O$34*H30/25</f>
        <v>0.80359907797893737</v>
      </c>
      <c r="J30" s="33"/>
      <c r="K30" s="34">
        <v>0.15329999999999999</v>
      </c>
      <c r="L30" s="29">
        <v>1</v>
      </c>
      <c r="N30" s="1" t="s">
        <v>71</v>
      </c>
      <c r="O30" s="22">
        <f>O29*O27/O26</f>
        <v>251.12471186841793</v>
      </c>
      <c r="P30" s="1" t="s">
        <v>70</v>
      </c>
    </row>
    <row r="31" spans="1:17" ht="23.25" customHeight="1" x14ac:dyDescent="0.15">
      <c r="B31" s="29">
        <v>2</v>
      </c>
      <c r="C31" s="29">
        <f t="shared" ref="C31:C34" si="0">$D$37*B31/25</f>
        <v>1.6028000000000002</v>
      </c>
      <c r="D31" s="19">
        <v>0.13150000000000001</v>
      </c>
      <c r="E31" s="19">
        <v>3.4</v>
      </c>
      <c r="F31" s="89">
        <f t="shared" ref="F31:F34" si="1">C31/1000</f>
        <v>1.6028000000000001E-3</v>
      </c>
      <c r="G31" s="28"/>
      <c r="H31" s="31">
        <v>4</v>
      </c>
      <c r="I31" s="35">
        <f t="shared" ref="I31:I34" si="2">$O$34*H31/25</f>
        <v>1.6071981559578747</v>
      </c>
      <c r="J31" s="36"/>
      <c r="K31" s="34">
        <v>0.29089999999999999</v>
      </c>
      <c r="L31" s="29">
        <v>0.4</v>
      </c>
      <c r="N31" s="1" t="s">
        <v>72</v>
      </c>
    </row>
    <row r="32" spans="1:17" ht="23.25" customHeight="1" x14ac:dyDescent="0.15">
      <c r="B32" s="29">
        <v>3</v>
      </c>
      <c r="C32" s="29">
        <f t="shared" si="0"/>
        <v>2.4042000000000003</v>
      </c>
      <c r="D32" s="19">
        <v>0.18160000000000001</v>
      </c>
      <c r="E32" s="19">
        <v>1.1000000000000001</v>
      </c>
      <c r="F32" s="89">
        <f t="shared" si="1"/>
        <v>2.4042000000000004E-3</v>
      </c>
      <c r="G32" s="28"/>
      <c r="H32" s="31">
        <v>6</v>
      </c>
      <c r="I32" s="35">
        <f t="shared" si="2"/>
        <v>2.4107972339368122</v>
      </c>
      <c r="J32" s="36"/>
      <c r="K32" s="34">
        <v>0.42399999999999999</v>
      </c>
      <c r="L32" s="29">
        <v>0.5</v>
      </c>
      <c r="N32" s="1" t="s">
        <v>73</v>
      </c>
      <c r="O32" s="49">
        <f>O30/0.25</f>
        <v>1004.4988474736717</v>
      </c>
    </row>
    <row r="33" spans="1:20" ht="23.25" customHeight="1" x14ac:dyDescent="0.15">
      <c r="B33" s="29">
        <v>4</v>
      </c>
      <c r="C33" s="29">
        <f t="shared" si="0"/>
        <v>3.2056000000000004</v>
      </c>
      <c r="D33" s="19">
        <v>0.2311</v>
      </c>
      <c r="E33" s="19">
        <v>0.8</v>
      </c>
      <c r="F33" s="89">
        <f t="shared" si="1"/>
        <v>3.2056000000000003E-3</v>
      </c>
      <c r="G33" s="28"/>
      <c r="H33" s="31">
        <v>8</v>
      </c>
      <c r="I33" s="35">
        <f t="shared" si="2"/>
        <v>3.2143963119157495</v>
      </c>
      <c r="J33" s="36"/>
      <c r="K33" s="34">
        <v>0.48749999999999999</v>
      </c>
      <c r="L33" s="29">
        <v>1.2</v>
      </c>
      <c r="N33" s="1" t="s">
        <v>74</v>
      </c>
      <c r="O33" s="22">
        <f>O32*25/250</f>
        <v>100.44988474736718</v>
      </c>
    </row>
    <row r="34" spans="1:20" ht="23.25" customHeight="1" x14ac:dyDescent="0.15">
      <c r="B34" s="29">
        <v>5</v>
      </c>
      <c r="C34" s="29">
        <f t="shared" si="0"/>
        <v>4.0070000000000006</v>
      </c>
      <c r="D34" s="19">
        <v>0.28360000000000002</v>
      </c>
      <c r="E34" s="19">
        <v>0.7</v>
      </c>
      <c r="F34" s="89">
        <f t="shared" si="1"/>
        <v>4.0070000000000001E-3</v>
      </c>
      <c r="G34" s="28"/>
      <c r="H34" s="31">
        <v>10</v>
      </c>
      <c r="I34" s="35">
        <f t="shared" si="2"/>
        <v>4.0179953898946872</v>
      </c>
      <c r="J34" s="36"/>
      <c r="K34" s="34">
        <v>0.66959999999999997</v>
      </c>
      <c r="L34" s="29">
        <v>0.3</v>
      </c>
      <c r="N34" s="1" t="s">
        <v>75</v>
      </c>
      <c r="O34" s="46">
        <f>O33*25/250</f>
        <v>10.044988474736718</v>
      </c>
    </row>
    <row r="35" spans="1:20" ht="23.25" customHeight="1" x14ac:dyDescent="0.15">
      <c r="C35" s="4"/>
      <c r="D35" s="4"/>
      <c r="E35" s="4"/>
      <c r="H35" s="23"/>
      <c r="I35" s="4"/>
      <c r="J35" s="4"/>
      <c r="K35" s="4"/>
      <c r="L35" s="4"/>
      <c r="O35" s="22"/>
    </row>
    <row r="36" spans="1:20" ht="23.25" customHeight="1" x14ac:dyDescent="0.15">
      <c r="C36" s="4" t="s">
        <v>81</v>
      </c>
      <c r="D36" s="90">
        <f>'C1'!F30</f>
        <v>2.0035000000000004E-2</v>
      </c>
      <c r="E36" s="1" t="s">
        <v>82</v>
      </c>
      <c r="H36" s="23"/>
      <c r="I36" s="4"/>
      <c r="J36" s="4"/>
      <c r="K36" s="4"/>
      <c r="L36" s="4"/>
      <c r="O36" s="22"/>
    </row>
    <row r="37" spans="1:20" ht="23.25" customHeight="1" x14ac:dyDescent="0.15">
      <c r="D37" s="23">
        <f>D36*1000</f>
        <v>20.035000000000004</v>
      </c>
      <c r="E37" s="1" t="s">
        <v>76</v>
      </c>
    </row>
    <row r="38" spans="1:20" ht="15" customHeight="1" x14ac:dyDescent="0.15">
      <c r="A38" s="2" t="s">
        <v>54</v>
      </c>
    </row>
    <row r="39" spans="1:20" ht="15" customHeight="1" x14ac:dyDescent="0.15">
      <c r="G39" s="110" t="s">
        <v>84</v>
      </c>
      <c r="H39" s="110"/>
      <c r="I39" s="110"/>
      <c r="J39" s="110"/>
      <c r="Q39" s="110" t="s">
        <v>84</v>
      </c>
      <c r="R39" s="110"/>
      <c r="S39" s="110"/>
      <c r="T39" s="110"/>
    </row>
    <row r="40" spans="1:20" ht="15" customHeight="1" x14ac:dyDescent="0.15">
      <c r="G40" s="24" t="s">
        <v>85</v>
      </c>
      <c r="H40" s="1" cm="1">
        <f t="array" ref="H40:I44">LINEST(D30:D34,C30:C34,1,1)</f>
        <v>6.5160968305465417E-2</v>
      </c>
      <c r="I40" s="1">
        <v>2.3360000000000047E-2</v>
      </c>
      <c r="J40" s="26" t="s">
        <v>90</v>
      </c>
      <c r="Q40" s="24" t="s">
        <v>85</v>
      </c>
      <c r="R40" s="1" cm="1">
        <f t="array" ref="R40:S44">LINEST(K30:K34,I30:I34,1,1)</f>
        <v>0.1529618479766621</v>
      </c>
      <c r="S40" s="1">
        <v>3.6299999999999666E-2</v>
      </c>
      <c r="T40" s="26" t="s">
        <v>90</v>
      </c>
    </row>
    <row r="41" spans="1:20" ht="15" customHeight="1" x14ac:dyDescent="0.15">
      <c r="G41" s="24" t="s">
        <v>86</v>
      </c>
      <c r="H41" s="1">
        <v>1.226504638667336E-3</v>
      </c>
      <c r="I41" s="1">
        <v>3.2599795500381098E-3</v>
      </c>
      <c r="J41" s="26" t="s">
        <v>91</v>
      </c>
      <c r="Q41" s="24" t="s">
        <v>86</v>
      </c>
      <c r="R41" s="1">
        <v>1.1265851384640039E-2</v>
      </c>
      <c r="S41" s="1">
        <v>3.0026159705607788E-2</v>
      </c>
      <c r="T41" s="26" t="s">
        <v>91</v>
      </c>
    </row>
    <row r="42" spans="1:20" ht="15" customHeight="1" x14ac:dyDescent="0.15">
      <c r="G42" s="25" t="s">
        <v>87</v>
      </c>
      <c r="H42" s="27">
        <v>0.99893824765732397</v>
      </c>
      <c r="I42" s="1">
        <v>3.1082685426670172E-3</v>
      </c>
      <c r="J42" s="26" t="s">
        <v>92</v>
      </c>
      <c r="Q42" s="25" t="s">
        <v>87</v>
      </c>
      <c r="R42" s="27">
        <v>0.98398701074030304</v>
      </c>
      <c r="S42" s="1">
        <v>2.8628819978010468E-2</v>
      </c>
      <c r="T42" s="26" t="s">
        <v>92</v>
      </c>
    </row>
    <row r="43" spans="1:20" ht="16.75" customHeight="1" x14ac:dyDescent="0.15">
      <c r="G43" s="24" t="s">
        <v>88</v>
      </c>
      <c r="H43" s="1">
        <v>2822.5176649185728</v>
      </c>
      <c r="I43" s="1">
        <v>3</v>
      </c>
      <c r="J43" s="26" t="s">
        <v>93</v>
      </c>
      <c r="Q43" s="24" t="s">
        <v>88</v>
      </c>
      <c r="R43" s="1">
        <v>184.34790558754051</v>
      </c>
      <c r="S43" s="1">
        <v>3</v>
      </c>
      <c r="T43" s="26" t="s">
        <v>93</v>
      </c>
    </row>
    <row r="44" spans="1:20" ht="15" customHeight="1" x14ac:dyDescent="0.15">
      <c r="G44" s="24" t="s">
        <v>89</v>
      </c>
      <c r="H44" s="1">
        <v>2.7269284000000001E-2</v>
      </c>
      <c r="I44" s="1">
        <v>2.8984000000000033E-5</v>
      </c>
      <c r="J44" s="26" t="s">
        <v>94</v>
      </c>
      <c r="Q44" s="24" t="s">
        <v>89</v>
      </c>
      <c r="R44" s="1">
        <v>0.15109326399999998</v>
      </c>
      <c r="S44" s="1">
        <v>2.4588279999999941E-3</v>
      </c>
      <c r="T44" s="26" t="s">
        <v>94</v>
      </c>
    </row>
    <row r="45" spans="1:20" ht="15" customHeight="1" x14ac:dyDescent="0.15">
      <c r="G45" s="42" t="s">
        <v>104</v>
      </c>
      <c r="H45" s="24">
        <f>COUNT(C30:C34)</f>
        <v>5</v>
      </c>
      <c r="K45" s="26"/>
      <c r="Q45" s="42" t="s">
        <v>104</v>
      </c>
      <c r="R45" s="1">
        <f>COUNT(I30:I34)</f>
        <v>5</v>
      </c>
    </row>
    <row r="46" spans="1:20" ht="15" customHeight="1" x14ac:dyDescent="0.15">
      <c r="G46" s="42" t="s">
        <v>105</v>
      </c>
      <c r="H46" s="43">
        <f>AVERAGE(D30:D34)</f>
        <v>0.18002000000000001</v>
      </c>
      <c r="I46" s="62" t="s">
        <v>136</v>
      </c>
      <c r="J46" s="62">
        <f>G51</f>
        <v>65.160968305465431</v>
      </c>
      <c r="K46" s="26"/>
      <c r="Q46" s="42" t="s">
        <v>105</v>
      </c>
      <c r="R46" s="21">
        <f>AVERAGE(K30:K34)</f>
        <v>0.40505999999999992</v>
      </c>
    </row>
    <row r="47" spans="1:20" ht="15" customHeight="1" x14ac:dyDescent="0.2">
      <c r="G47" s="42" t="s">
        <v>106</v>
      </c>
      <c r="H47" s="45">
        <f>VARPA(C30:C34)*H45</f>
        <v>6.4224196000000067</v>
      </c>
      <c r="I47" s="62" t="s">
        <v>135</v>
      </c>
      <c r="J47" s="62">
        <f>VARPA(F30:F34)*H45</f>
        <v>6.4224196000000005E-6</v>
      </c>
      <c r="K47" s="26"/>
      <c r="Q47" s="41" t="s">
        <v>106</v>
      </c>
      <c r="R47" s="22">
        <f>VARPA(I30:I34)*R45</f>
        <v>6.4577147812859721</v>
      </c>
    </row>
    <row r="48" spans="1:20" ht="15" customHeight="1" x14ac:dyDescent="0.2">
      <c r="G48" s="42" t="s">
        <v>107</v>
      </c>
      <c r="H48" s="44">
        <f>_xlfn.T.INV.2T(0.05,I43)</f>
        <v>3.1824463052837091</v>
      </c>
      <c r="I48" s="1" t="s">
        <v>108</v>
      </c>
      <c r="K48" s="26"/>
      <c r="Q48" s="41" t="s">
        <v>107</v>
      </c>
      <c r="R48" s="27">
        <f>_xlfn.T.INV.2T(0.05,S43)</f>
        <v>3.1824463052837091</v>
      </c>
    </row>
    <row r="49" spans="1:21" ht="15" customHeight="1" x14ac:dyDescent="0.15"/>
    <row r="50" spans="1:21" ht="24" customHeight="1" x14ac:dyDescent="0.2">
      <c r="G50" s="37" t="s">
        <v>95</v>
      </c>
      <c r="Q50" s="37" t="s">
        <v>96</v>
      </c>
    </row>
    <row r="51" spans="1:21" ht="15" customHeight="1" x14ac:dyDescent="0.15">
      <c r="G51" s="62" cm="1">
        <f t="array" ref="G51:H51">LINEST(D30:D34,F30:F34,TRUE,FALSE)</f>
        <v>65.160968305465431</v>
      </c>
      <c r="H51" s="62">
        <v>2.336000000000002E-2</v>
      </c>
    </row>
    <row r="52" spans="1:21" ht="15" customHeight="1" x14ac:dyDescent="0.15">
      <c r="H52" s="62" t="s">
        <v>170</v>
      </c>
    </row>
    <row r="53" spans="1:21" ht="15" customHeight="1" x14ac:dyDescent="0.15">
      <c r="H53" s="62" t="s">
        <v>171</v>
      </c>
    </row>
    <row r="54" spans="1:21" ht="15" customHeight="1" x14ac:dyDescent="0.15">
      <c r="H54" s="62" t="s">
        <v>172</v>
      </c>
    </row>
    <row r="55" spans="1:21" ht="15" customHeight="1" x14ac:dyDescent="0.15"/>
    <row r="56" spans="1:21" ht="15" customHeight="1" x14ac:dyDescent="0.15">
      <c r="E56" s="110" t="s">
        <v>80</v>
      </c>
      <c r="F56" s="110"/>
      <c r="G56" s="110"/>
      <c r="H56" s="110"/>
      <c r="J56" s="110" t="s">
        <v>79</v>
      </c>
      <c r="K56" s="110"/>
      <c r="L56" s="110"/>
      <c r="M56" s="110"/>
      <c r="O56" s="39" t="s">
        <v>97</v>
      </c>
      <c r="P56" s="39"/>
      <c r="Q56" s="39"/>
      <c r="R56" s="39"/>
      <c r="S56" s="39"/>
      <c r="T56" s="39"/>
      <c r="U56" s="39"/>
    </row>
    <row r="57" spans="1:21" ht="15" customHeight="1" x14ac:dyDescent="0.15">
      <c r="O57" s="39" t="s">
        <v>98</v>
      </c>
      <c r="P57" s="39"/>
      <c r="Q57" s="39"/>
      <c r="R57" s="39"/>
      <c r="S57" s="39"/>
      <c r="T57" s="39"/>
      <c r="U57" s="39"/>
    </row>
    <row r="58" spans="1:21" ht="15" customHeight="1" x14ac:dyDescent="0.15">
      <c r="A58" s="2" t="s">
        <v>44</v>
      </c>
      <c r="F58" s="93" t="s">
        <v>42</v>
      </c>
      <c r="G58" s="93" t="s">
        <v>65</v>
      </c>
      <c r="H58" s="93" t="s">
        <v>78</v>
      </c>
      <c r="J58" s="38"/>
      <c r="K58" s="94" t="s">
        <v>42</v>
      </c>
      <c r="L58" s="93" t="s">
        <v>65</v>
      </c>
      <c r="M58" s="93" t="s">
        <v>78</v>
      </c>
      <c r="O58" s="39" t="s">
        <v>153</v>
      </c>
      <c r="P58" s="39"/>
      <c r="Q58" s="39"/>
      <c r="R58" s="39"/>
      <c r="S58" s="39"/>
      <c r="T58" s="39"/>
      <c r="U58" s="39"/>
    </row>
    <row r="59" spans="1:21" ht="15" customHeight="1" x14ac:dyDescent="0.15">
      <c r="B59" s="2" t="s">
        <v>55</v>
      </c>
      <c r="E59" s="2" t="s">
        <v>77</v>
      </c>
      <c r="F59" s="4">
        <v>0.19989999999999999</v>
      </c>
      <c r="G59" s="4">
        <v>0.4</v>
      </c>
      <c r="H59" s="92">
        <f>(F59-I40)/H40</f>
        <v>2.7092906166219839</v>
      </c>
      <c r="I59" s="47" t="s">
        <v>76</v>
      </c>
      <c r="J59" s="2" t="s">
        <v>77</v>
      </c>
      <c r="K59" s="4">
        <v>0.46550000000000002</v>
      </c>
      <c r="L59" s="4">
        <v>0.7</v>
      </c>
      <c r="M59" s="92">
        <f>(K59-S40)/R40</f>
        <v>2.8059284434474461</v>
      </c>
      <c r="N59" s="47" t="s">
        <v>76</v>
      </c>
      <c r="O59" s="39" t="s">
        <v>99</v>
      </c>
      <c r="P59" s="39"/>
      <c r="Q59" s="39"/>
      <c r="R59" s="39"/>
      <c r="S59" s="39"/>
      <c r="T59" s="39"/>
      <c r="U59" s="39"/>
    </row>
    <row r="60" spans="1:21" ht="15" customHeight="1" x14ac:dyDescent="0.15">
      <c r="A60" s="2" t="s">
        <v>58</v>
      </c>
      <c r="F60" s="93" t="s">
        <v>100</v>
      </c>
      <c r="G60" s="93" t="s">
        <v>103</v>
      </c>
      <c r="K60" s="93" t="s">
        <v>100</v>
      </c>
      <c r="L60" s="93" t="s">
        <v>103</v>
      </c>
    </row>
    <row r="61" spans="1:21" ht="15" customHeight="1" x14ac:dyDescent="0.15">
      <c r="A61" s="2"/>
      <c r="B61" s="2" t="s">
        <v>59</v>
      </c>
      <c r="F61" s="23">
        <f>I42/H40*SQRT(1+1/H45+(F59-H46)^2/(H40^2*H47))</f>
        <v>5.2568854801790459E-2</v>
      </c>
      <c r="G61" s="91">
        <f>H48*F61</f>
        <v>0.16729755773695382</v>
      </c>
      <c r="K61" s="23">
        <f>S42/R40*SQRT(1+1/R45+(K59-R46)^2/(R40^2*R47))</f>
        <v>0.20708204612292239</v>
      </c>
      <c r="L61" s="91">
        <f>R48*K61</f>
        <v>0.65902749257448501</v>
      </c>
    </row>
    <row r="62" spans="1:21" ht="15" customHeight="1" x14ac:dyDescent="0.15"/>
    <row r="63" spans="1:21" ht="15" customHeight="1" x14ac:dyDescent="0.15"/>
    <row r="64" spans="1:21" ht="15" customHeight="1" x14ac:dyDescent="0.15">
      <c r="A64" s="2"/>
      <c r="B64" s="2"/>
    </row>
    <row r="65" spans="1:15" ht="19" customHeight="1" x14ac:dyDescent="0.15">
      <c r="G65" s="40" t="s">
        <v>101</v>
      </c>
      <c r="H65" s="40" t="s">
        <v>102</v>
      </c>
    </row>
    <row r="66" spans="1:15" ht="15" customHeight="1" x14ac:dyDescent="0.15">
      <c r="A66" s="2" t="s">
        <v>56</v>
      </c>
      <c r="G66" s="29">
        <f>H59*100/4.8*0.1</f>
        <v>5.6443554512957999</v>
      </c>
      <c r="H66" s="29">
        <f>G61*100/4.8*0.1</f>
        <v>0.34853657861865384</v>
      </c>
      <c r="J66" s="39" t="s">
        <v>111</v>
      </c>
      <c r="K66" s="39"/>
      <c r="L66" s="39"/>
      <c r="M66" s="39"/>
      <c r="N66" s="39"/>
      <c r="O66" s="39"/>
    </row>
    <row r="67" spans="1:15" ht="15" customHeight="1" x14ac:dyDescent="0.15">
      <c r="B67" s="2" t="s">
        <v>57</v>
      </c>
      <c r="G67" s="29">
        <f>M59*50/6*0.1</f>
        <v>2.3382737028728715</v>
      </c>
      <c r="H67" s="29">
        <f>L61*50/6*0.1</f>
        <v>0.54918957714540428</v>
      </c>
      <c r="I67" s="1" t="s">
        <v>109</v>
      </c>
      <c r="J67" s="39" t="s">
        <v>110</v>
      </c>
      <c r="K67" s="39"/>
      <c r="L67" s="39"/>
      <c r="M67" s="39"/>
      <c r="N67" s="39"/>
      <c r="O67" s="39"/>
    </row>
    <row r="68" spans="1:15" ht="15" customHeight="1" x14ac:dyDescent="0.15">
      <c r="A68" s="2"/>
    </row>
    <row r="69" spans="1:15" ht="15" customHeight="1" x14ac:dyDescent="0.15">
      <c r="A69" s="2" t="s">
        <v>45</v>
      </c>
    </row>
    <row r="70" spans="1:15" ht="15" customHeight="1" x14ac:dyDescent="0.15">
      <c r="A70" s="2"/>
    </row>
    <row r="71" spans="1:15" ht="15" customHeight="1" x14ac:dyDescent="0.15">
      <c r="A71" s="2"/>
      <c r="B71" s="103" t="s">
        <v>160</v>
      </c>
      <c r="C71" s="103"/>
      <c r="D71" s="103"/>
      <c r="E71" s="103"/>
      <c r="F71" s="103"/>
      <c r="G71" s="103"/>
      <c r="H71" s="103"/>
      <c r="I71" s="103"/>
      <c r="J71" s="103"/>
    </row>
    <row r="72" spans="1:15" ht="15" customHeight="1" x14ac:dyDescent="0.15">
      <c r="A72" s="2"/>
      <c r="B72" s="103"/>
      <c r="C72" s="103"/>
      <c r="D72" s="103"/>
      <c r="E72" s="103"/>
      <c r="F72" s="103"/>
      <c r="G72" s="103"/>
      <c r="H72" s="103"/>
      <c r="I72" s="103"/>
      <c r="J72" s="103"/>
    </row>
    <row r="73" spans="1:15" ht="84.5" customHeight="1" x14ac:dyDescent="0.15">
      <c r="A73" s="2"/>
      <c r="B73" s="103"/>
      <c r="C73" s="103"/>
      <c r="D73" s="103"/>
      <c r="E73" s="103"/>
      <c r="F73" s="103"/>
      <c r="G73" s="103"/>
      <c r="H73" s="103"/>
      <c r="I73" s="103"/>
      <c r="J73" s="103"/>
    </row>
    <row r="74" spans="1:15" ht="39" customHeight="1" x14ac:dyDescent="0.15">
      <c r="B74" s="103"/>
      <c r="C74" s="103"/>
      <c r="D74" s="103"/>
      <c r="E74" s="103"/>
      <c r="F74" s="103"/>
      <c r="G74" s="103"/>
      <c r="H74" s="103"/>
      <c r="I74" s="103"/>
      <c r="J74" s="103"/>
    </row>
    <row r="75" spans="1:15" ht="15" customHeight="1" x14ac:dyDescent="0.15">
      <c r="A75" s="2" t="s">
        <v>47</v>
      </c>
    </row>
    <row r="76" spans="1:15" ht="15" customHeight="1" x14ac:dyDescent="0.15">
      <c r="B76" s="2" t="s">
        <v>38</v>
      </c>
    </row>
    <row r="77" spans="1:15" ht="15" customHeight="1" thickBot="1" x14ac:dyDescent="0.2">
      <c r="B77" s="2"/>
    </row>
    <row r="78" spans="1:15" ht="58" customHeight="1" x14ac:dyDescent="0.15">
      <c r="C78" s="8" t="s">
        <v>22</v>
      </c>
      <c r="D78" s="9" t="s">
        <v>18</v>
      </c>
      <c r="E78" s="9" t="s">
        <v>29</v>
      </c>
      <c r="F78" s="9" t="s">
        <v>19</v>
      </c>
      <c r="G78" s="9" t="s">
        <v>20</v>
      </c>
      <c r="H78" s="10" t="s">
        <v>21</v>
      </c>
    </row>
    <row r="79" spans="1:15" ht="15" customHeight="1" x14ac:dyDescent="0.15">
      <c r="C79" s="17" t="s">
        <v>120</v>
      </c>
      <c r="D79" s="88">
        <f>G66</f>
        <v>5.6443554512957999</v>
      </c>
      <c r="E79" s="88">
        <f>H66</f>
        <v>0.34853657861865384</v>
      </c>
      <c r="F79" s="114">
        <f>AVERAGE(D79:D82)</f>
        <v>5.5942213678239501</v>
      </c>
      <c r="G79" s="106">
        <f>STDEV(D79:D82)</f>
        <v>5.2711268566124188E-2</v>
      </c>
      <c r="H79" s="108">
        <f>G79/F79*100</f>
        <v>0.94224495421831889</v>
      </c>
    </row>
    <row r="80" spans="1:15" ht="15" customHeight="1" x14ac:dyDescent="0.15">
      <c r="C80" s="17" t="s">
        <v>125</v>
      </c>
      <c r="D80" s="88">
        <v>5.59</v>
      </c>
      <c r="E80" s="88">
        <v>0.11</v>
      </c>
      <c r="F80" s="114"/>
      <c r="G80" s="106"/>
      <c r="H80" s="108"/>
    </row>
    <row r="81" spans="1:13" ht="15" customHeight="1" x14ac:dyDescent="0.15">
      <c r="C81" s="17" t="s">
        <v>126</v>
      </c>
      <c r="D81" s="88">
        <v>5.62</v>
      </c>
      <c r="E81" s="88">
        <v>0.47</v>
      </c>
      <c r="F81" s="114"/>
      <c r="G81" s="106"/>
      <c r="H81" s="108"/>
    </row>
    <row r="82" spans="1:13" ht="15" customHeight="1" x14ac:dyDescent="0.15">
      <c r="C82" s="17" t="s">
        <v>127</v>
      </c>
      <c r="D82" s="88">
        <v>5.5225300199999996</v>
      </c>
      <c r="E82" s="88">
        <v>0.45103833700000001</v>
      </c>
      <c r="F82" s="114"/>
      <c r="G82" s="106"/>
      <c r="H82" s="108"/>
    </row>
    <row r="83" spans="1:13" ht="15" customHeight="1" x14ac:dyDescent="0.15">
      <c r="C83" s="17"/>
      <c r="D83" s="15"/>
      <c r="E83" s="15"/>
      <c r="F83" s="114"/>
      <c r="G83" s="106"/>
      <c r="H83" s="108"/>
    </row>
    <row r="84" spans="1:13" ht="15" customHeight="1" x14ac:dyDescent="0.15">
      <c r="C84" s="17"/>
      <c r="D84" s="15"/>
      <c r="E84" s="15"/>
      <c r="F84" s="114"/>
      <c r="G84" s="106"/>
      <c r="H84" s="108"/>
    </row>
    <row r="85" spans="1:13" ht="15" customHeight="1" x14ac:dyDescent="0.15">
      <c r="C85" s="17"/>
      <c r="D85" s="15"/>
      <c r="E85" s="15"/>
      <c r="F85" s="114"/>
      <c r="G85" s="106"/>
      <c r="H85" s="108"/>
    </row>
    <row r="86" spans="1:13" ht="15" customHeight="1" thickBot="1" x14ac:dyDescent="0.2">
      <c r="C86" s="18"/>
      <c r="D86" s="16"/>
      <c r="E86" s="16"/>
      <c r="F86" s="115"/>
      <c r="G86" s="107"/>
      <c r="H86" s="109"/>
    </row>
    <row r="87" spans="1:13" ht="16.5" customHeight="1" x14ac:dyDescent="0.15"/>
    <row r="88" spans="1:13" s="2" customFormat="1" ht="16" customHeight="1" x14ac:dyDescent="0.15">
      <c r="A88" s="2" t="s">
        <v>49</v>
      </c>
      <c r="M88" s="2" t="s">
        <v>131</v>
      </c>
    </row>
    <row r="89" spans="1:13" ht="23.25" customHeight="1" x14ac:dyDescent="0.15">
      <c r="C89" s="2"/>
    </row>
    <row r="90" spans="1:13" s="26" customFormat="1" ht="54" customHeight="1" x14ac:dyDescent="0.2">
      <c r="B90" s="103" t="s">
        <v>167</v>
      </c>
      <c r="C90" s="103"/>
      <c r="D90" s="103"/>
      <c r="E90" s="103"/>
      <c r="F90" s="103"/>
      <c r="G90" s="103"/>
      <c r="H90" s="103"/>
      <c r="I90" s="103"/>
    </row>
    <row r="91" spans="1:13" s="26" customFormat="1" ht="59.5" customHeight="1" x14ac:dyDescent="0.2">
      <c r="B91" s="103"/>
      <c r="C91" s="103"/>
      <c r="D91" s="103"/>
      <c r="E91" s="103"/>
      <c r="F91" s="103"/>
      <c r="G91" s="103"/>
      <c r="H91" s="103"/>
      <c r="I91" s="103"/>
    </row>
    <row r="92" spans="1:13" ht="21" customHeight="1" x14ac:dyDescent="0.15"/>
    <row r="93" spans="1:13" s="2" customFormat="1" ht="21" customHeight="1" x14ac:dyDescent="0.15">
      <c r="A93" s="2" t="s">
        <v>48</v>
      </c>
      <c r="G93" s="2" t="s">
        <v>128</v>
      </c>
      <c r="H93" s="27">
        <f>'C1'!I43</f>
        <v>4.4422216663887208E-3</v>
      </c>
      <c r="J93" s="1" t="s">
        <v>130</v>
      </c>
    </row>
    <row r="94" spans="1:13" s="2" customFormat="1" ht="21" customHeight="1" x14ac:dyDescent="0.15">
      <c r="A94" s="2" t="s">
        <v>37</v>
      </c>
      <c r="G94" s="2" t="s">
        <v>129</v>
      </c>
      <c r="H94" s="27">
        <f>I42</f>
        <v>3.1082685426670172E-3</v>
      </c>
      <c r="J94" s="1" t="s">
        <v>132</v>
      </c>
      <c r="K94" s="59"/>
      <c r="L94" s="60">
        <f>9.28</f>
        <v>9.2799999999999994</v>
      </c>
    </row>
    <row r="95" spans="1:13" s="2" customFormat="1" ht="21" customHeight="1" x14ac:dyDescent="0.15">
      <c r="B95" s="111" t="s">
        <v>162</v>
      </c>
      <c r="C95" s="112"/>
      <c r="D95" s="112"/>
      <c r="E95" s="112"/>
      <c r="G95" s="59" t="s">
        <v>133</v>
      </c>
      <c r="H95" s="95">
        <f>H93^2/H94^2</f>
        <v>2.0425062103229399</v>
      </c>
    </row>
    <row r="96" spans="1:13" s="2" customFormat="1" ht="21" customHeight="1" x14ac:dyDescent="0.15">
      <c r="B96" s="112"/>
      <c r="C96" s="112"/>
      <c r="D96" s="112"/>
      <c r="E96" s="112"/>
    </row>
    <row r="97" spans="1:22" s="2" customFormat="1" ht="21" customHeight="1" x14ac:dyDescent="0.15">
      <c r="B97" s="112"/>
      <c r="C97" s="112"/>
      <c r="D97" s="112"/>
      <c r="E97" s="112"/>
    </row>
    <row r="98" spans="1:22" s="2" customFormat="1" ht="21" customHeight="1" x14ac:dyDescent="0.15">
      <c r="B98" s="112"/>
      <c r="C98" s="112"/>
      <c r="D98" s="112"/>
      <c r="E98" s="112"/>
      <c r="L98" s="63"/>
      <c r="M98" s="63"/>
      <c r="N98" s="63"/>
      <c r="O98" s="63"/>
      <c r="P98" s="63"/>
      <c r="Q98" s="63"/>
      <c r="R98" s="63"/>
      <c r="S98" s="63"/>
      <c r="T98" s="63"/>
      <c r="U98" s="63"/>
      <c r="V98" s="63"/>
    </row>
    <row r="99" spans="1:22" s="2" customFormat="1" ht="21" customHeight="1" x14ac:dyDescent="0.15">
      <c r="A99" s="2" t="s">
        <v>50</v>
      </c>
      <c r="L99" s="63"/>
      <c r="M99" s="101" t="s">
        <v>159</v>
      </c>
      <c r="N99" s="64"/>
      <c r="O99" s="64"/>
      <c r="P99" s="64"/>
      <c r="Q99" s="64"/>
      <c r="R99" s="96"/>
      <c r="S99" s="66"/>
      <c r="T99" s="67"/>
      <c r="U99" s="63"/>
      <c r="V99" s="63"/>
    </row>
    <row r="100" spans="1:22" s="2" customFormat="1" ht="21" customHeight="1" x14ac:dyDescent="0.15">
      <c r="B100" s="103" t="s">
        <v>168</v>
      </c>
      <c r="C100" s="103"/>
      <c r="D100" s="103"/>
      <c r="E100" s="103"/>
      <c r="F100" s="103"/>
      <c r="G100" s="103"/>
      <c r="H100" s="103"/>
      <c r="I100" s="103"/>
      <c r="J100" s="103"/>
      <c r="L100" s="63"/>
      <c r="M100" s="64"/>
      <c r="N100" s="64"/>
      <c r="O100" s="64"/>
      <c r="P100" s="64"/>
      <c r="Q100" s="64"/>
      <c r="R100" s="65"/>
      <c r="S100" s="63"/>
      <c r="T100" s="63"/>
      <c r="U100" s="63"/>
      <c r="V100" s="63"/>
    </row>
    <row r="101" spans="1:22" s="2" customFormat="1" ht="21" customHeight="1" x14ac:dyDescent="0.15">
      <c r="B101" s="103"/>
      <c r="C101" s="103"/>
      <c r="D101" s="103"/>
      <c r="E101" s="103"/>
      <c r="F101" s="103"/>
      <c r="G101" s="103"/>
      <c r="H101" s="103"/>
      <c r="I101" s="103"/>
      <c r="J101" s="103"/>
      <c r="L101" s="63"/>
      <c r="M101" s="63" t="s">
        <v>137</v>
      </c>
      <c r="N101" s="63"/>
      <c r="O101" s="63" t="s">
        <v>138</v>
      </c>
      <c r="P101" s="63"/>
      <c r="Q101" s="63" t="s">
        <v>139</v>
      </c>
      <c r="R101" s="67"/>
      <c r="S101" s="67" t="s">
        <v>154</v>
      </c>
      <c r="T101" s="67"/>
      <c r="U101" s="67"/>
      <c r="V101" s="67"/>
    </row>
    <row r="102" spans="1:22" s="2" customFormat="1" ht="21" customHeight="1" x14ac:dyDescent="0.15">
      <c r="B102" s="103"/>
      <c r="C102" s="103"/>
      <c r="D102" s="103"/>
      <c r="E102" s="103"/>
      <c r="F102" s="103"/>
      <c r="G102" s="103"/>
      <c r="H102" s="103"/>
      <c r="I102" s="103"/>
      <c r="J102" s="103"/>
      <c r="L102" s="63"/>
      <c r="M102" s="99" cm="1">
        <f t="array" ref="M102:M105">'C1'!D106:D109</f>
        <v>5.2078746177370041</v>
      </c>
      <c r="N102" s="69"/>
      <c r="O102" s="99" cm="1">
        <f t="array" ref="O102:O105">D79:D82</f>
        <v>5.6443554512957999</v>
      </c>
      <c r="P102" s="69"/>
      <c r="Q102" s="99">
        <f>M102-O102</f>
        <v>-0.43648083355879574</v>
      </c>
      <c r="R102" s="67"/>
      <c r="S102" s="67" t="s">
        <v>155</v>
      </c>
      <c r="T102" s="98">
        <f>ABS(Q103-Q102)/ABS(Q104-Q103)</f>
        <v>0.6523598474600204</v>
      </c>
      <c r="U102" s="67"/>
      <c r="V102" s="67"/>
    </row>
    <row r="103" spans="1:22" s="2" customFormat="1" ht="21" customHeight="1" x14ac:dyDescent="0.15">
      <c r="B103" s="103"/>
      <c r="C103" s="103"/>
      <c r="D103" s="103"/>
      <c r="E103" s="103"/>
      <c r="F103" s="103"/>
      <c r="G103" s="103"/>
      <c r="H103" s="103"/>
      <c r="I103" s="103"/>
      <c r="J103" s="103"/>
      <c r="L103" s="63"/>
      <c r="M103" s="99">
        <v>5.01</v>
      </c>
      <c r="N103" s="69"/>
      <c r="O103" s="99">
        <v>5.59</v>
      </c>
      <c r="P103" s="69"/>
      <c r="Q103" s="99">
        <f t="shared" ref="Q103:Q104" si="3">M103-O103</f>
        <v>-0.58000000000000007</v>
      </c>
      <c r="R103" s="67"/>
      <c r="S103" s="67" t="s">
        <v>156</v>
      </c>
      <c r="T103" s="67">
        <v>0.76</v>
      </c>
      <c r="U103" s="67"/>
      <c r="V103" s="67" t="s">
        <v>157</v>
      </c>
    </row>
    <row r="104" spans="1:22" s="2" customFormat="1" ht="21" customHeight="1" x14ac:dyDescent="0.15">
      <c r="A104" s="2" t="s">
        <v>51</v>
      </c>
      <c r="L104" s="63"/>
      <c r="M104" s="99">
        <v>4.82</v>
      </c>
      <c r="N104" s="67"/>
      <c r="O104" s="99">
        <v>5.62</v>
      </c>
      <c r="P104" s="67"/>
      <c r="Q104" s="99">
        <f t="shared" si="3"/>
        <v>-0.79999999999999982</v>
      </c>
      <c r="R104" s="69"/>
      <c r="S104" s="67" t="s">
        <v>161</v>
      </c>
      <c r="T104" s="68"/>
      <c r="U104" s="68"/>
      <c r="V104" s="68"/>
    </row>
    <row r="105" spans="1:22" ht="21" customHeight="1" x14ac:dyDescent="0.15">
      <c r="L105" s="67"/>
      <c r="M105" s="99">
        <v>5.0980103010000004</v>
      </c>
      <c r="N105" s="67"/>
      <c r="O105" s="99">
        <v>5.5225300199999996</v>
      </c>
      <c r="P105" s="67"/>
      <c r="Q105" s="99">
        <f>M105-O105</f>
        <v>-0.42451971899999918</v>
      </c>
      <c r="R105" s="69"/>
      <c r="S105" s="69"/>
      <c r="T105" s="68"/>
      <c r="U105" s="68"/>
      <c r="V105" s="68"/>
    </row>
    <row r="106" spans="1:22" ht="21" customHeight="1" x14ac:dyDescent="0.15">
      <c r="B106" s="103" t="s">
        <v>169</v>
      </c>
      <c r="C106" s="103"/>
      <c r="D106" s="103"/>
      <c r="E106" s="103"/>
      <c r="F106" s="103"/>
      <c r="G106" s="103"/>
      <c r="H106" s="103"/>
      <c r="I106" s="103"/>
      <c r="J106" s="103"/>
      <c r="L106" s="67"/>
      <c r="M106" s="67"/>
      <c r="N106" s="67"/>
      <c r="O106" s="67"/>
      <c r="P106" s="67"/>
      <c r="Q106" s="67"/>
      <c r="R106" s="67"/>
      <c r="S106" s="67"/>
      <c r="T106" s="67"/>
      <c r="U106" s="67"/>
      <c r="V106" s="67"/>
    </row>
    <row r="107" spans="1:22" ht="65" customHeight="1" x14ac:dyDescent="0.15">
      <c r="B107" s="103"/>
      <c r="C107" s="103"/>
      <c r="D107" s="103"/>
      <c r="E107" s="103"/>
      <c r="F107" s="103"/>
      <c r="G107" s="103"/>
      <c r="H107" s="103"/>
      <c r="I107" s="103"/>
      <c r="J107" s="103"/>
      <c r="L107" s="67"/>
      <c r="M107" s="67"/>
      <c r="N107" s="67"/>
      <c r="O107" s="67"/>
      <c r="P107" s="67"/>
      <c r="Q107" s="67"/>
      <c r="R107" s="67"/>
      <c r="S107" s="67"/>
      <c r="T107" s="67"/>
      <c r="U107" s="67"/>
      <c r="V107" s="67"/>
    </row>
    <row r="108" spans="1:22" ht="21" customHeight="1" x14ac:dyDescent="0.15">
      <c r="B108" s="103"/>
      <c r="C108" s="103"/>
      <c r="D108" s="103"/>
      <c r="E108" s="103"/>
      <c r="F108" s="103"/>
      <c r="G108" s="103"/>
      <c r="H108" s="103"/>
      <c r="I108" s="103"/>
      <c r="J108" s="103"/>
      <c r="L108" s="67"/>
      <c r="M108" s="67"/>
      <c r="N108" s="67"/>
      <c r="O108" s="63" t="s">
        <v>104</v>
      </c>
      <c r="P108" s="63"/>
      <c r="Q108" s="63" t="s">
        <v>140</v>
      </c>
      <c r="R108" s="63"/>
      <c r="S108" s="63" t="s">
        <v>142</v>
      </c>
      <c r="T108" s="67"/>
      <c r="U108" s="67"/>
      <c r="V108" s="67"/>
    </row>
    <row r="109" spans="1:22" ht="21" customHeight="1" x14ac:dyDescent="0.15">
      <c r="B109" s="103"/>
      <c r="C109" s="103"/>
      <c r="D109" s="103"/>
      <c r="E109" s="103"/>
      <c r="F109" s="103"/>
      <c r="G109" s="103"/>
      <c r="H109" s="103"/>
      <c r="I109" s="103"/>
      <c r="J109" s="103"/>
      <c r="L109" s="67"/>
      <c r="M109" s="67"/>
      <c r="N109" s="67"/>
      <c r="O109" s="67">
        <f>COUNT(O102:O105)</f>
        <v>4</v>
      </c>
      <c r="P109" s="67"/>
      <c r="Q109" s="100">
        <f>AVERAGE(Q102:Q105)</f>
        <v>-0.56025013813969871</v>
      </c>
      <c r="R109" s="67"/>
      <c r="S109" s="98">
        <f>ABS(Q109*SQRT(O109)/Q111)</f>
        <v>6.4120553802637055</v>
      </c>
      <c r="T109" s="67"/>
      <c r="U109" s="67"/>
      <c r="V109" s="67"/>
    </row>
    <row r="110" spans="1:22" ht="21" customHeight="1" x14ac:dyDescent="0.15">
      <c r="B110" s="103"/>
      <c r="C110" s="103"/>
      <c r="D110" s="103"/>
      <c r="E110" s="103"/>
      <c r="F110" s="103"/>
      <c r="G110" s="103"/>
      <c r="H110" s="103"/>
      <c r="I110" s="103"/>
      <c r="J110" s="103"/>
      <c r="L110" s="67"/>
      <c r="M110" s="97"/>
      <c r="N110" s="67"/>
      <c r="O110" s="97"/>
      <c r="P110" s="67"/>
      <c r="Q110" s="63" t="s">
        <v>141</v>
      </c>
      <c r="R110" s="63"/>
      <c r="S110" s="63" t="s">
        <v>143</v>
      </c>
      <c r="T110" s="67"/>
      <c r="U110" s="67"/>
      <c r="V110" s="67"/>
    </row>
    <row r="111" spans="1:22" s="14" customFormat="1" ht="23.25" customHeight="1" x14ac:dyDescent="0.15">
      <c r="B111" s="14" t="s">
        <v>46</v>
      </c>
      <c r="L111" s="68"/>
      <c r="M111" s="67"/>
      <c r="N111" s="67"/>
      <c r="O111" s="67"/>
      <c r="P111" s="67"/>
      <c r="Q111" s="100">
        <f>STDEV(Q102:Q105)</f>
        <v>0.17474900165839102</v>
      </c>
      <c r="R111" s="67"/>
      <c r="S111" s="98">
        <f>_xlfn.T.INV.2T(0.05,3)</f>
        <v>3.1824463052837091</v>
      </c>
      <c r="T111" s="67" t="s">
        <v>158</v>
      </c>
      <c r="U111" s="67"/>
      <c r="V111" s="67"/>
    </row>
    <row r="112" spans="1:22" s="14" customFormat="1" ht="16.5" customHeight="1" x14ac:dyDescent="0.15">
      <c r="B112" s="14" t="s">
        <v>32</v>
      </c>
      <c r="L112" s="68"/>
      <c r="M112" s="68"/>
      <c r="N112" s="68"/>
      <c r="O112" s="68"/>
      <c r="P112" s="68"/>
      <c r="Q112" s="68"/>
      <c r="R112" s="68"/>
      <c r="S112" s="68"/>
      <c r="T112" s="68"/>
      <c r="U112" s="68"/>
      <c r="V112" s="68"/>
    </row>
    <row r="113" spans="12:22" ht="21" customHeight="1" x14ac:dyDescent="0.15">
      <c r="L113" s="67"/>
      <c r="M113" s="67"/>
      <c r="N113" s="67"/>
      <c r="O113" s="67"/>
      <c r="P113" s="67"/>
      <c r="Q113" s="67"/>
      <c r="R113" s="67"/>
      <c r="S113" s="63" t="s">
        <v>163</v>
      </c>
      <c r="T113" s="67"/>
      <c r="U113" s="67"/>
      <c r="V113" s="67"/>
    </row>
    <row r="114" spans="12:22" ht="21" customHeight="1" x14ac:dyDescent="0.15">
      <c r="L114" s="67"/>
      <c r="M114" s="67"/>
      <c r="N114" s="67"/>
      <c r="O114" s="67"/>
      <c r="P114" s="67"/>
      <c r="Q114" s="67"/>
      <c r="R114" s="67"/>
      <c r="S114" s="63"/>
      <c r="T114" s="67"/>
      <c r="U114" s="67"/>
      <c r="V114" s="67"/>
    </row>
    <row r="115" spans="12:22" ht="21" customHeight="1" x14ac:dyDescent="0.15">
      <c r="L115" s="67"/>
      <c r="M115" s="67"/>
      <c r="N115" s="67"/>
      <c r="O115" s="67"/>
      <c r="P115" s="67"/>
      <c r="Q115" s="67"/>
      <c r="R115" s="67"/>
      <c r="S115" s="67"/>
      <c r="T115" s="67"/>
      <c r="U115" s="67"/>
      <c r="V115" s="67"/>
    </row>
    <row r="116" spans="12:22" ht="21" customHeight="1" x14ac:dyDescent="0.15">
      <c r="L116" s="67"/>
      <c r="M116" s="67"/>
      <c r="N116" s="67"/>
      <c r="O116" s="67"/>
      <c r="P116" s="67"/>
      <c r="Q116" s="67"/>
      <c r="R116" s="67"/>
      <c r="S116" s="67"/>
      <c r="T116" s="67"/>
      <c r="U116" s="67"/>
      <c r="V116" s="67"/>
    </row>
    <row r="117" spans="12:22" ht="21" customHeight="1" x14ac:dyDescent="0.15">
      <c r="L117" s="67"/>
      <c r="M117" s="67"/>
      <c r="N117" s="67"/>
      <c r="O117" s="67"/>
      <c r="P117" s="67"/>
      <c r="Q117" s="67"/>
      <c r="R117" s="67"/>
      <c r="S117" s="67"/>
      <c r="T117" s="67"/>
      <c r="U117" s="67"/>
      <c r="V117" s="67"/>
    </row>
    <row r="118" spans="12:22" ht="21" customHeight="1" x14ac:dyDescent="0.15">
      <c r="L118" s="67"/>
      <c r="M118" s="67"/>
      <c r="N118" s="67"/>
      <c r="O118" s="67"/>
      <c r="P118" s="67"/>
      <c r="Q118" s="67"/>
      <c r="R118" s="67"/>
      <c r="S118" s="67"/>
      <c r="T118" s="67"/>
      <c r="U118" s="67"/>
      <c r="V118" s="67"/>
    </row>
    <row r="119" spans="12:22" ht="23.25" customHeight="1" x14ac:dyDescent="0.15">
      <c r="L119" s="67"/>
      <c r="M119" s="67"/>
      <c r="N119" s="67"/>
      <c r="O119" s="67"/>
      <c r="P119" s="67"/>
      <c r="Q119" s="67"/>
      <c r="R119" s="67"/>
      <c r="S119" s="67"/>
      <c r="T119" s="67"/>
      <c r="U119" s="67"/>
      <c r="V119" s="67"/>
    </row>
  </sheetData>
  <mergeCells count="14">
    <mergeCell ref="B6:L6"/>
    <mergeCell ref="F79:F86"/>
    <mergeCell ref="G79:G86"/>
    <mergeCell ref="H79:H86"/>
    <mergeCell ref="I29:J29"/>
    <mergeCell ref="E56:H56"/>
    <mergeCell ref="J56:M56"/>
    <mergeCell ref="B95:E98"/>
    <mergeCell ref="B106:J110"/>
    <mergeCell ref="Q39:T39"/>
    <mergeCell ref="G39:J39"/>
    <mergeCell ref="B71:J74"/>
    <mergeCell ref="B90:I91"/>
    <mergeCell ref="B100:J103"/>
  </mergeCell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D35" sqref="D35"/>
    </sheetView>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C1</vt:lpstr>
      <vt:lpstr>C2</vt:lpstr>
      <vt:lpstr>Càlculs</vt:lpstr>
      <vt:lpstr>'C1'!Print_Area</vt:lpstr>
      <vt:lpstr>'C2'!Print_Area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IGNASI</dc:creator>
  <cp:lastModifiedBy>Sergio Castañeiras Morales</cp:lastModifiedBy>
  <cp:lastPrinted>2021-04-16T08:01:40Z</cp:lastPrinted>
  <dcterms:created xsi:type="dcterms:W3CDTF">2021-03-22T14:48:22Z</dcterms:created>
  <dcterms:modified xsi:type="dcterms:W3CDTF">2025-05-19T12:47:20Z</dcterms:modified>
</cp:coreProperties>
</file>