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166925"/>
  <mc:AlternateContent xmlns:mc="http://schemas.openxmlformats.org/markup-compatibility/2006">
    <mc:Choice Requires="x15">
      <x15ac:absPath xmlns:x15ac="http://schemas.microsoft.com/office/spreadsheetml/2010/11/ac" url="/Users/deumenec/Documents/Uni/LACE/Gerard i Òscar/"/>
    </mc:Choice>
  </mc:AlternateContent>
  <xr:revisionPtr revIDLastSave="0" documentId="13_ncr:1_{66D4B36C-79A1-AA45-999A-F453825CBE84}" xr6:coauthVersionLast="47" xr6:coauthVersionMax="47" xr10:uidLastSave="{00000000-0000-0000-0000-000000000000}"/>
  <bookViews>
    <workbookView xWindow="0" yWindow="760" windowWidth="30240" windowHeight="18880" xr2:uid="{C1122783-245A-4FED-BDEB-F09B1698DCDF}"/>
  </bookViews>
  <sheets>
    <sheet name="Pràctica A" sheetId="1" r:id="rId1"/>
    <sheet name="Solver" sheetId="4" r:id="rId2"/>
    <sheet name="Matricial" sheetId="3" r:id="rId3"/>
    <sheet name="Càlculs" sheetId="2" r:id="rId4"/>
  </sheets>
  <definedNames>
    <definedName name="solver_adj" localSheetId="1" hidden="1">Solver!$G$50:$I$50</definedName>
    <definedName name="solver_cvg" localSheetId="1" hidden="1">0.0001</definedName>
    <definedName name="solver_drv" localSheetId="1" hidden="1">1</definedName>
    <definedName name="solver_eng" localSheetId="1" hidden="1">1</definedName>
    <definedName name="solver_est" localSheetId="1" hidden="1">1</definedName>
    <definedName name="solver_itr" localSheetId="1" hidden="1">2147483647</definedName>
    <definedName name="solver_lin" localSheetId="1" hidden="1">2</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0</definedName>
    <definedName name="solver_nwt" localSheetId="1" hidden="1">1</definedName>
    <definedName name="solver_opt" localSheetId="1" hidden="1">Solver!$L$50</definedName>
    <definedName name="solver_pre" localSheetId="1" hidden="1">0.000001</definedName>
    <definedName name="solver_rbv" localSheetId="1" hidden="1">1</definedName>
    <definedName name="solver_rlx" localSheetId="1" hidden="1">2</definedName>
    <definedName name="solver_rsd" localSheetId="1" hidden="1">0</definedName>
    <definedName name="solver_scl" localSheetId="1" hidden="1">1</definedName>
    <definedName name="solver_sho" localSheetId="1" hidden="1">2</definedName>
    <definedName name="solver_ssz" localSheetId="1" hidden="1">100</definedName>
    <definedName name="solver_tim" localSheetId="1" hidden="1">2147483647</definedName>
    <definedName name="solver_tol" localSheetId="1" hidden="1">1</definedName>
    <definedName name="solver_typ" localSheetId="1" hidden="1">3</definedName>
    <definedName name="solver_val" localSheetId="1" hidden="1">0</definedName>
    <definedName name="solver_ver" localSheetId="1" hidden="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3" l="1"/>
  <c r="E40" i="3" a="1"/>
  <c r="E40" i="3" s="1"/>
  <c r="F29" i="3" a="1"/>
  <c r="F29" i="3" s="1"/>
  <c r="C21" i="3"/>
  <c r="L50" i="4"/>
  <c r="F5" i="4"/>
  <c r="F41" i="4"/>
  <c r="F40" i="4"/>
  <c r="F39" i="4"/>
  <c r="F37" i="4"/>
  <c r="F36" i="4"/>
  <c r="F35" i="4"/>
  <c r="F34" i="4"/>
  <c r="F33" i="4"/>
  <c r="F32" i="4"/>
  <c r="F30" i="4"/>
  <c r="F29" i="4"/>
  <c r="F28" i="4"/>
  <c r="F27" i="4"/>
  <c r="E118" i="1"/>
  <c r="C118" i="1"/>
  <c r="B118" i="1"/>
  <c r="B96" i="1"/>
  <c r="B97" i="1"/>
  <c r="I96" i="1"/>
  <c r="I97" i="1"/>
  <c r="I98" i="1"/>
  <c r="I99" i="1"/>
  <c r="I100" i="1"/>
  <c r="I101" i="1"/>
  <c r="I102" i="1"/>
  <c r="I103" i="1"/>
  <c r="O103" i="1" s="1"/>
  <c r="I104" i="1"/>
  <c r="I105" i="1"/>
  <c r="O105" i="1" s="1"/>
  <c r="I106" i="1"/>
  <c r="O106" i="1" s="1"/>
  <c r="I107" i="1"/>
  <c r="I108" i="1"/>
  <c r="I109" i="1"/>
  <c r="O109" i="1" s="1"/>
  <c r="I110" i="1"/>
  <c r="O110" i="1"/>
  <c r="O108" i="1"/>
  <c r="O107" i="1"/>
  <c r="O104" i="1"/>
  <c r="O101" i="1"/>
  <c r="O102" i="1"/>
  <c r="O100" i="1"/>
  <c r="O99" i="1"/>
  <c r="O98" i="1"/>
  <c r="O96" i="1"/>
  <c r="K97" i="1"/>
  <c r="J97" i="1"/>
  <c r="O97" i="1"/>
  <c r="D248" i="1"/>
  <c r="C248" i="1"/>
  <c r="B248" i="1"/>
  <c r="K41" i="3"/>
  <c r="K42" i="3"/>
  <c r="K43" i="3"/>
  <c r="K44" i="3"/>
  <c r="K45" i="3"/>
  <c r="K46" i="3"/>
  <c r="K47" i="3"/>
  <c r="K48" i="3"/>
  <c r="K49" i="3"/>
  <c r="K50" i="3"/>
  <c r="K51" i="3"/>
  <c r="K52" i="3"/>
  <c r="K53" i="3"/>
  <c r="K54" i="3"/>
  <c r="K40" i="3"/>
  <c r="G41" i="3"/>
  <c r="G42" i="3"/>
  <c r="G43" i="3"/>
  <c r="G44" i="3"/>
  <c r="G45" i="3"/>
  <c r="G46" i="3"/>
  <c r="G47" i="3"/>
  <c r="G48" i="3"/>
  <c r="G49" i="3"/>
  <c r="G50" i="3"/>
  <c r="G51" i="3"/>
  <c r="G52" i="3"/>
  <c r="G53" i="3"/>
  <c r="G54" i="3"/>
  <c r="G40" i="3"/>
  <c r="C41" i="3"/>
  <c r="C42" i="3"/>
  <c r="C43" i="3"/>
  <c r="C44" i="3"/>
  <c r="C45" i="3"/>
  <c r="C46" i="3"/>
  <c r="C47" i="3"/>
  <c r="C48" i="3"/>
  <c r="C49" i="3"/>
  <c r="C50" i="3"/>
  <c r="C51" i="3"/>
  <c r="C52" i="3"/>
  <c r="C53" i="3"/>
  <c r="C54" i="3"/>
  <c r="C40" i="3"/>
  <c r="A2" i="3" a="1"/>
  <c r="A2" i="3" s="1"/>
  <c r="D250" i="1"/>
  <c r="C250" i="1"/>
  <c r="B250" i="1"/>
  <c r="D249" i="1"/>
  <c r="C249" i="1"/>
  <c r="B249" i="1"/>
  <c r="D62" i="4"/>
  <c r="D63" i="4"/>
  <c r="D64" i="4"/>
  <c r="D51" i="4"/>
  <c r="D52" i="4"/>
  <c r="D53" i="4"/>
  <c r="D54" i="4"/>
  <c r="D55" i="4"/>
  <c r="D56" i="4"/>
  <c r="D57" i="4"/>
  <c r="D58" i="4"/>
  <c r="D59" i="4"/>
  <c r="D60" i="4"/>
  <c r="D61" i="4"/>
  <c r="D50" i="4"/>
  <c r="D28" i="4"/>
  <c r="D29" i="4"/>
  <c r="D30" i="4"/>
  <c r="D31" i="4"/>
  <c r="D32" i="4"/>
  <c r="D33" i="4"/>
  <c r="D34" i="4"/>
  <c r="D35" i="4"/>
  <c r="D36" i="4"/>
  <c r="D37" i="4"/>
  <c r="D38" i="4"/>
  <c r="D39" i="4"/>
  <c r="D40" i="4"/>
  <c r="D41" i="4"/>
  <c r="D27" i="4"/>
  <c r="D6" i="4" l="1"/>
  <c r="D7" i="4"/>
  <c r="D8" i="4"/>
  <c r="D9" i="4"/>
  <c r="D10" i="4"/>
  <c r="D11" i="4"/>
  <c r="D12" i="4"/>
  <c r="D13" i="4"/>
  <c r="D14" i="4"/>
  <c r="D15" i="4"/>
  <c r="D16" i="4"/>
  <c r="D17" i="4"/>
  <c r="D18" i="4"/>
  <c r="D19" i="4"/>
  <c r="D5" i="4"/>
  <c r="H96" i="1"/>
  <c r="D119" i="1" l="1"/>
  <c r="D120" i="1"/>
  <c r="D121" i="1"/>
  <c r="D122" i="1"/>
  <c r="D123" i="1"/>
  <c r="D124" i="1"/>
  <c r="D125" i="1"/>
  <c r="D126" i="1"/>
  <c r="D127" i="1"/>
  <c r="D128" i="1"/>
  <c r="D129" i="1"/>
  <c r="D130" i="1"/>
  <c r="D131" i="1"/>
  <c r="D132" i="1"/>
  <c r="D118" i="1"/>
  <c r="D158" i="1"/>
  <c r="D159" i="1"/>
  <c r="D160" i="1"/>
  <c r="D161" i="1"/>
  <c r="D162" i="1"/>
  <c r="D163" i="1"/>
  <c r="D164" i="1"/>
  <c r="D165" i="1"/>
  <c r="D166" i="1"/>
  <c r="D167" i="1"/>
  <c r="D168" i="1"/>
  <c r="D169" i="1"/>
  <c r="D170" i="1"/>
  <c r="D171" i="1"/>
  <c r="D157" i="1"/>
  <c r="D197" i="1"/>
  <c r="D198" i="1"/>
  <c r="D199" i="1"/>
  <c r="D200" i="1"/>
  <c r="D201" i="1"/>
  <c r="D202" i="1"/>
  <c r="D203" i="1"/>
  <c r="D204" i="1"/>
  <c r="D205" i="1"/>
  <c r="D206" i="1"/>
  <c r="D207" i="1"/>
  <c r="D208" i="1"/>
  <c r="D209" i="1"/>
  <c r="D210" i="1"/>
  <c r="D196" i="1"/>
  <c r="H97" i="1"/>
  <c r="H98" i="1"/>
  <c r="H99" i="1"/>
  <c r="H100" i="1"/>
  <c r="H101" i="1"/>
  <c r="H102" i="1"/>
  <c r="H103" i="1"/>
  <c r="H104" i="1"/>
  <c r="H105" i="1"/>
  <c r="H106" i="1"/>
  <c r="H107" i="1"/>
  <c r="H108" i="1"/>
  <c r="H109" i="1"/>
  <c r="H110" i="1"/>
  <c r="G97" i="1"/>
  <c r="G98" i="1"/>
  <c r="K98" i="1" s="1"/>
  <c r="G99" i="1"/>
  <c r="K99" i="1" s="1"/>
  <c r="G100" i="1"/>
  <c r="G101" i="1"/>
  <c r="G102" i="1"/>
  <c r="G103" i="1"/>
  <c r="K103" i="1" s="1"/>
  <c r="G104" i="1"/>
  <c r="G105" i="1"/>
  <c r="G106" i="1"/>
  <c r="K106" i="1" s="1"/>
  <c r="G107" i="1"/>
  <c r="K107" i="1" s="1"/>
  <c r="G108" i="1"/>
  <c r="G109" i="1"/>
  <c r="G110" i="1"/>
  <c r="G96" i="1"/>
  <c r="D97" i="1"/>
  <c r="D98" i="1"/>
  <c r="D99" i="1"/>
  <c r="D100" i="1"/>
  <c r="D101" i="1"/>
  <c r="D102" i="1"/>
  <c r="D103" i="1"/>
  <c r="D104" i="1"/>
  <c r="D105" i="1"/>
  <c r="D106" i="1"/>
  <c r="D107" i="1"/>
  <c r="D108" i="1"/>
  <c r="D109" i="1"/>
  <c r="D110" i="1"/>
  <c r="D96" i="1"/>
  <c r="C97" i="1"/>
  <c r="C98" i="1"/>
  <c r="C99" i="1"/>
  <c r="C100" i="1"/>
  <c r="C101" i="1"/>
  <c r="C102" i="1"/>
  <c r="C103" i="1"/>
  <c r="C104" i="1"/>
  <c r="C105" i="1"/>
  <c r="C106" i="1"/>
  <c r="C107" i="1"/>
  <c r="C108" i="1"/>
  <c r="C109" i="1"/>
  <c r="C110" i="1"/>
  <c r="C96" i="1"/>
  <c r="B98" i="1"/>
  <c r="B99" i="1"/>
  <c r="B100" i="1"/>
  <c r="B101" i="1"/>
  <c r="B102" i="1"/>
  <c r="F102" i="1" s="1"/>
  <c r="B103" i="1"/>
  <c r="B104" i="1"/>
  <c r="B105" i="1"/>
  <c r="B106" i="1"/>
  <c r="B107" i="1"/>
  <c r="B108" i="1"/>
  <c r="B109" i="1"/>
  <c r="B110" i="1"/>
  <c r="F110" i="1" s="1"/>
  <c r="K102" i="1" l="1"/>
  <c r="F106" i="1"/>
  <c r="F98" i="1"/>
  <c r="K110" i="1"/>
  <c r="J96" i="1"/>
  <c r="K96" i="1"/>
  <c r="F109" i="1"/>
  <c r="F105" i="1"/>
  <c r="F101" i="1"/>
  <c r="F97" i="1"/>
  <c r="F108" i="1"/>
  <c r="F104" i="1"/>
  <c r="F100" i="1"/>
  <c r="K109" i="1"/>
  <c r="K105" i="1"/>
  <c r="K101" i="1"/>
  <c r="F96" i="1"/>
  <c r="F107" i="1"/>
  <c r="F103" i="1"/>
  <c r="F99" i="1"/>
  <c r="K108" i="1"/>
  <c r="K104" i="1"/>
  <c r="K100" i="1"/>
  <c r="J109" i="1"/>
  <c r="J110" i="1"/>
  <c r="J98" i="1"/>
  <c r="J99" i="1"/>
  <c r="E160" i="1" s="1"/>
  <c r="J100" i="1"/>
  <c r="J101" i="1"/>
  <c r="J102" i="1"/>
  <c r="J103" i="1"/>
  <c r="J104" i="1"/>
  <c r="J105" i="1"/>
  <c r="J106" i="1"/>
  <c r="J107" i="1"/>
  <c r="J108" i="1"/>
  <c r="L2" i="3" s="1" a="1"/>
  <c r="E110" i="1"/>
  <c r="E97" i="1"/>
  <c r="E98" i="1"/>
  <c r="E99" i="1"/>
  <c r="E100" i="1"/>
  <c r="E101" i="1"/>
  <c r="E102" i="1"/>
  <c r="E103" i="1"/>
  <c r="E104" i="1"/>
  <c r="E105" i="1"/>
  <c r="E106" i="1"/>
  <c r="E107" i="1"/>
  <c r="E108" i="1"/>
  <c r="E109" i="1"/>
  <c r="E96" i="1"/>
  <c r="L2" i="3" l="1"/>
  <c r="D29" i="3"/>
  <c r="C32" i="3"/>
  <c r="D21" i="3"/>
  <c r="C30" i="3"/>
  <c r="C35" i="3"/>
  <c r="C29" i="3"/>
  <c r="C24" i="3"/>
  <c r="D28" i="3"/>
  <c r="C23" i="3"/>
  <c r="C34" i="3"/>
  <c r="C27" i="3"/>
  <c r="D31" i="3"/>
  <c r="C33" i="3"/>
  <c r="C26" i="3"/>
  <c r="D34" i="3"/>
  <c r="D23" i="3"/>
  <c r="C28" i="3"/>
  <c r="D27" i="3"/>
  <c r="D22" i="3"/>
  <c r="D33" i="3"/>
  <c r="D26" i="3"/>
  <c r="C31" i="3"/>
  <c r="D35" i="3"/>
  <c r="D25" i="3"/>
  <c r="D24" i="3"/>
  <c r="C25" i="3"/>
  <c r="D30" i="3"/>
  <c r="D32" i="3"/>
  <c r="E157" i="1"/>
  <c r="H157" i="1" s="1"/>
  <c r="C157" i="1" s="1"/>
  <c r="E196" i="1"/>
  <c r="H196" i="1" s="1"/>
  <c r="C196" i="1" s="1"/>
  <c r="E127" i="1"/>
  <c r="E205" i="1"/>
  <c r="H205" i="1" s="1"/>
  <c r="C205" i="1" s="1"/>
  <c r="E166" i="1"/>
  <c r="H166" i="1" s="1"/>
  <c r="C166" i="1" s="1"/>
  <c r="E123" i="1"/>
  <c r="E201" i="1"/>
  <c r="H201" i="1" s="1"/>
  <c r="C201" i="1" s="1"/>
  <c r="E162" i="1"/>
  <c r="H162" i="1" s="1"/>
  <c r="C162" i="1" s="1"/>
  <c r="E119" i="1"/>
  <c r="E197" i="1"/>
  <c r="H197" i="1" s="1"/>
  <c r="C197" i="1" s="1"/>
  <c r="E158" i="1"/>
  <c r="H158" i="1" s="1"/>
  <c r="C158" i="1" s="1"/>
  <c r="E130" i="1"/>
  <c r="E208" i="1"/>
  <c r="H208" i="1" s="1"/>
  <c r="C208" i="1" s="1"/>
  <c r="E169" i="1"/>
  <c r="H169" i="1" s="1"/>
  <c r="C169" i="1" s="1"/>
  <c r="E204" i="1"/>
  <c r="H204" i="1" s="1"/>
  <c r="C204" i="1" s="1"/>
  <c r="E126" i="1"/>
  <c r="E165" i="1"/>
  <c r="H165" i="1" s="1"/>
  <c r="C165" i="1" s="1"/>
  <c r="E200" i="1"/>
  <c r="H200" i="1" s="1"/>
  <c r="C200" i="1" s="1"/>
  <c r="E161" i="1"/>
  <c r="H161" i="1" s="1"/>
  <c r="C161" i="1" s="1"/>
  <c r="E122" i="1"/>
  <c r="E171" i="1"/>
  <c r="H171" i="1" s="1"/>
  <c r="C171" i="1" s="1"/>
  <c r="E132" i="1"/>
  <c r="E210" i="1"/>
  <c r="H210" i="1" s="1"/>
  <c r="C210" i="1" s="1"/>
  <c r="E167" i="1"/>
  <c r="H167" i="1" s="1"/>
  <c r="C167" i="1" s="1"/>
  <c r="E128" i="1"/>
  <c r="E206" i="1"/>
  <c r="H206" i="1" s="1"/>
  <c r="C206" i="1" s="1"/>
  <c r="E163" i="1"/>
  <c r="H163" i="1" s="1"/>
  <c r="C163" i="1" s="1"/>
  <c r="E124" i="1"/>
  <c r="E202" i="1"/>
  <c r="H202" i="1" s="1"/>
  <c r="C202" i="1" s="1"/>
  <c r="E159" i="1"/>
  <c r="H159" i="1" s="1"/>
  <c r="C159" i="1" s="1"/>
  <c r="E120" i="1"/>
  <c r="E198" i="1"/>
  <c r="H198" i="1" s="1"/>
  <c r="C198" i="1" s="1"/>
  <c r="E168" i="1"/>
  <c r="H168" i="1" s="1"/>
  <c r="C168" i="1" s="1"/>
  <c r="E129" i="1"/>
  <c r="E207" i="1"/>
  <c r="H207" i="1" s="1"/>
  <c r="C207" i="1" s="1"/>
  <c r="E164" i="1"/>
  <c r="H164" i="1" s="1"/>
  <c r="C164" i="1" s="1"/>
  <c r="E125" i="1"/>
  <c r="E203" i="1"/>
  <c r="H203" i="1" s="1"/>
  <c r="C203" i="1" s="1"/>
  <c r="H160" i="1"/>
  <c r="C160" i="1" s="1"/>
  <c r="E121" i="1"/>
  <c r="E199" i="1"/>
  <c r="H199" i="1" s="1"/>
  <c r="C199" i="1" s="1"/>
  <c r="E131" i="1"/>
  <c r="E209" i="1"/>
  <c r="H209" i="1" s="1"/>
  <c r="C209" i="1" s="1"/>
  <c r="E170" i="1"/>
  <c r="H170" i="1" s="1"/>
  <c r="C170" i="1" s="1"/>
  <c r="F131" i="1"/>
  <c r="B17" i="4" s="1"/>
  <c r="F209" i="1"/>
  <c r="F170" i="1"/>
  <c r="F168" i="1"/>
  <c r="F207" i="1"/>
  <c r="F129" i="1"/>
  <c r="F164" i="1"/>
  <c r="F203" i="1"/>
  <c r="F125" i="1"/>
  <c r="F160" i="1"/>
  <c r="F199" i="1"/>
  <c r="F121" i="1"/>
  <c r="F157" i="1"/>
  <c r="G157" i="1" s="1"/>
  <c r="B157" i="1" s="1"/>
  <c r="F196" i="1"/>
  <c r="F118" i="1"/>
  <c r="B4" i="4" s="1"/>
  <c r="F128" i="1"/>
  <c r="B14" i="4" s="1"/>
  <c r="F167" i="1"/>
  <c r="F206" i="1"/>
  <c r="F163" i="1"/>
  <c r="F124" i="1"/>
  <c r="F202" i="1"/>
  <c r="F120" i="1"/>
  <c r="B6" i="4" s="1"/>
  <c r="F159" i="1"/>
  <c r="F198" i="1"/>
  <c r="F127" i="1"/>
  <c r="B13" i="4" s="1"/>
  <c r="F205" i="1"/>
  <c r="G205" i="1" s="1"/>
  <c r="B205" i="1" s="1"/>
  <c r="F166" i="1"/>
  <c r="F123" i="1"/>
  <c r="B9" i="4" s="1"/>
  <c r="F201" i="1"/>
  <c r="F162" i="1"/>
  <c r="F119" i="1"/>
  <c r="B5" i="4" s="1"/>
  <c r="F197" i="1"/>
  <c r="F158" i="1"/>
  <c r="F208" i="1"/>
  <c r="F130" i="1"/>
  <c r="F169" i="1"/>
  <c r="F204" i="1"/>
  <c r="F165" i="1"/>
  <c r="F126" i="1"/>
  <c r="F200" i="1"/>
  <c r="F122" i="1"/>
  <c r="F161" i="1"/>
  <c r="F171" i="1"/>
  <c r="F132" i="1"/>
  <c r="B18" i="4" s="1"/>
  <c r="F210" i="1"/>
  <c r="G206" i="1" l="1"/>
  <c r="B206" i="1" s="1"/>
  <c r="G163" i="1"/>
  <c r="B163" i="1" s="1"/>
  <c r="G167" i="1"/>
  <c r="B167" i="1" s="1"/>
  <c r="G198" i="1"/>
  <c r="B198" i="1" s="1"/>
  <c r="G162" i="1"/>
  <c r="B162" i="1" s="1"/>
  <c r="H123" i="1"/>
  <c r="C123" i="1" s="1"/>
  <c r="A9" i="4"/>
  <c r="G124" i="1"/>
  <c r="B124" i="1" s="1"/>
  <c r="B10" i="4"/>
  <c r="G121" i="1"/>
  <c r="B121" i="1" s="1"/>
  <c r="B7" i="4"/>
  <c r="H121" i="1"/>
  <c r="C121" i="1" s="1"/>
  <c r="A7" i="4"/>
  <c r="H126" i="1"/>
  <c r="C126" i="1" s="1"/>
  <c r="A12" i="4"/>
  <c r="H132" i="1"/>
  <c r="C132" i="1" s="1"/>
  <c r="A18" i="4"/>
  <c r="G130" i="1"/>
  <c r="B130" i="1" s="1"/>
  <c r="B16" i="4"/>
  <c r="H120" i="1"/>
  <c r="C120" i="1" s="1"/>
  <c r="A6" i="4"/>
  <c r="F21" i="3" a="1"/>
  <c r="F21" i="3" s="1"/>
  <c r="F25" i="3" s="1" a="1"/>
  <c r="F25" i="3" s="1"/>
  <c r="F33" i="3" s="1" a="1"/>
  <c r="F33" i="3" s="1"/>
  <c r="G125" i="1"/>
  <c r="B125" i="1" s="1"/>
  <c r="B11" i="4"/>
  <c r="H125" i="1"/>
  <c r="C125" i="1" s="1"/>
  <c r="A11" i="4"/>
  <c r="H124" i="1"/>
  <c r="C124" i="1" s="1"/>
  <c r="A10" i="4"/>
  <c r="H122" i="1"/>
  <c r="C122" i="1" s="1"/>
  <c r="A8" i="4"/>
  <c r="H130" i="1"/>
  <c r="C130" i="1" s="1"/>
  <c r="A16" i="4"/>
  <c r="G122" i="1"/>
  <c r="B122" i="1" s="1"/>
  <c r="B8" i="4"/>
  <c r="G126" i="1"/>
  <c r="B126" i="1" s="1"/>
  <c r="B12" i="4"/>
  <c r="H127" i="1"/>
  <c r="C127" i="1" s="1"/>
  <c r="A13" i="4"/>
  <c r="G129" i="1"/>
  <c r="B129" i="1" s="1"/>
  <c r="B15" i="4"/>
  <c r="H131" i="1"/>
  <c r="C131" i="1" s="1"/>
  <c r="A17" i="4"/>
  <c r="H129" i="1"/>
  <c r="C129" i="1" s="1"/>
  <c r="A15" i="4"/>
  <c r="G202" i="1"/>
  <c r="B202" i="1" s="1"/>
  <c r="H128" i="1"/>
  <c r="C128" i="1" s="1"/>
  <c r="A14" i="4"/>
  <c r="H119" i="1"/>
  <c r="C119" i="1" s="1"/>
  <c r="A5" i="4"/>
  <c r="H118" i="1"/>
  <c r="A4" i="4"/>
  <c r="G159" i="1"/>
  <c r="B159" i="1" s="1"/>
  <c r="G164" i="1"/>
  <c r="B164" i="1" s="1"/>
  <c r="G170" i="1"/>
  <c r="B170" i="1" s="1"/>
  <c r="G221" i="1"/>
  <c r="G182" i="1"/>
  <c r="G196" i="1"/>
  <c r="B196" i="1" s="1"/>
  <c r="G120" i="1"/>
  <c r="B120" i="1" s="1"/>
  <c r="G210" i="1"/>
  <c r="B210" i="1" s="1"/>
  <c r="G204" i="1"/>
  <c r="B204" i="1" s="1"/>
  <c r="G158" i="1"/>
  <c r="B158" i="1" s="1"/>
  <c r="G201" i="1"/>
  <c r="B201" i="1" s="1"/>
  <c r="G127" i="1"/>
  <c r="B127" i="1" s="1"/>
  <c r="G207" i="1"/>
  <c r="B207" i="1" s="1"/>
  <c r="G131" i="1"/>
  <c r="B131" i="1" s="1"/>
  <c r="G161" i="1"/>
  <c r="B161" i="1" s="1"/>
  <c r="G160" i="1"/>
  <c r="B160" i="1" s="1"/>
  <c r="G132" i="1"/>
  <c r="B132" i="1" s="1"/>
  <c r="G200" i="1"/>
  <c r="B200" i="1" s="1"/>
  <c r="G169" i="1"/>
  <c r="B169" i="1" s="1"/>
  <c r="G197" i="1"/>
  <c r="B197" i="1" s="1"/>
  <c r="G123" i="1"/>
  <c r="B123" i="1" s="1"/>
  <c r="G203" i="1"/>
  <c r="B203" i="1" s="1"/>
  <c r="G171" i="1"/>
  <c r="B171" i="1" s="1"/>
  <c r="G119" i="1"/>
  <c r="B119" i="1" s="1"/>
  <c r="G166" i="1"/>
  <c r="B166" i="1" s="1"/>
  <c r="G118" i="1"/>
  <c r="G199" i="1"/>
  <c r="B199" i="1" s="1"/>
  <c r="G165" i="1"/>
  <c r="B165" i="1" s="1"/>
  <c r="G208" i="1"/>
  <c r="B208" i="1" s="1"/>
  <c r="G209" i="1"/>
  <c r="B209" i="1" s="1"/>
  <c r="G128" i="1"/>
  <c r="B128" i="1" s="1"/>
  <c r="G168" i="1"/>
  <c r="B168" i="1" s="1"/>
  <c r="G215" i="1" l="1" a="1"/>
  <c r="G215" i="1" s="1"/>
  <c r="G137" i="1" a="1"/>
  <c r="G137" i="1" s="1"/>
  <c r="J35" i="4"/>
  <c r="K35" i="4" s="1"/>
  <c r="G143" i="1"/>
  <c r="F53" i="4"/>
  <c r="J53" i="4" s="1"/>
  <c r="K53" i="4" s="1"/>
  <c r="F31" i="4"/>
  <c r="J31" i="4" s="1"/>
  <c r="K31" i="4" s="1"/>
  <c r="F9" i="4"/>
  <c r="J9" i="4" s="1"/>
  <c r="K9" i="4" s="1"/>
  <c r="J5" i="4"/>
  <c r="K5" i="4" s="1"/>
  <c r="J27" i="4"/>
  <c r="K27" i="4" s="1"/>
  <c r="F50" i="4"/>
  <c r="J50" i="4" s="1"/>
  <c r="K50" i="4" s="1"/>
  <c r="F7" i="4"/>
  <c r="J7" i="4" s="1"/>
  <c r="K7" i="4" s="1"/>
  <c r="F52" i="4"/>
  <c r="J52" i="4" s="1"/>
  <c r="K52" i="4" s="1"/>
  <c r="J30" i="4"/>
  <c r="K30" i="4" s="1"/>
  <c r="F8" i="4"/>
  <c r="J8" i="4" s="1"/>
  <c r="K8" i="4" s="1"/>
  <c r="F16" i="4"/>
  <c r="J16" i="4" s="1"/>
  <c r="K16" i="4" s="1"/>
  <c r="F61" i="4"/>
  <c r="J61" i="4" s="1"/>
  <c r="K61" i="4" s="1"/>
  <c r="F14" i="4"/>
  <c r="J14" i="4" s="1"/>
  <c r="K14" i="4" s="1"/>
  <c r="F59" i="4"/>
  <c r="J59" i="4" s="1"/>
  <c r="K59" i="4" s="1"/>
  <c r="J36" i="4"/>
  <c r="K36" i="4" s="1"/>
  <c r="J40" i="4"/>
  <c r="K40" i="4" s="1"/>
  <c r="F63" i="4"/>
  <c r="J63" i="4" s="1"/>
  <c r="K63" i="4" s="1"/>
  <c r="F18" i="4"/>
  <c r="J18" i="4" s="1"/>
  <c r="K18" i="4" s="1"/>
  <c r="J33" i="4"/>
  <c r="K33" i="4" s="1"/>
  <c r="F11" i="4"/>
  <c r="J11" i="4" s="1"/>
  <c r="K11" i="4" s="1"/>
  <c r="F56" i="4"/>
  <c r="J56" i="4" s="1"/>
  <c r="K56" i="4" s="1"/>
  <c r="F38" i="4"/>
  <c r="J38" i="4" s="1"/>
  <c r="K38" i="4" s="1"/>
  <c r="F54" i="4"/>
  <c r="J54" i="4" s="1"/>
  <c r="K54" i="4" s="1"/>
  <c r="F12" i="4"/>
  <c r="J12" i="4" s="1"/>
  <c r="K12" i="4" s="1"/>
  <c r="J34" i="4"/>
  <c r="K34" i="4" s="1"/>
  <c r="G176" i="1" a="1"/>
  <c r="G176" i="1" s="1"/>
  <c r="B187" i="1" s="1"/>
  <c r="F15" i="4"/>
  <c r="J15" i="4" s="1"/>
  <c r="K15" i="4" s="1"/>
  <c r="J37" i="4"/>
  <c r="K37" i="4" s="1"/>
  <c r="F60" i="4"/>
  <c r="J60" i="4" s="1"/>
  <c r="K60" i="4" s="1"/>
  <c r="J41" i="4"/>
  <c r="K41" i="4" s="1"/>
  <c r="F64" i="4"/>
  <c r="J64" i="4" s="1"/>
  <c r="K64" i="4" s="1"/>
  <c r="F19" i="4"/>
  <c r="J19" i="4" s="1"/>
  <c r="K19" i="4" s="1"/>
  <c r="J29" i="4"/>
  <c r="K29" i="4" s="1"/>
  <c r="F62" i="4"/>
  <c r="J62" i="4" s="1"/>
  <c r="K62" i="4" s="1"/>
  <c r="J39" i="4"/>
  <c r="K39" i="4" s="1"/>
  <c r="F17" i="4"/>
  <c r="J17" i="4" s="1"/>
  <c r="K17" i="4" s="1"/>
  <c r="F57" i="4"/>
  <c r="J57" i="4" s="1"/>
  <c r="K57" i="4" s="1"/>
  <c r="F6" i="4"/>
  <c r="J6" i="4" s="1"/>
  <c r="K6" i="4" s="1"/>
  <c r="F51" i="4"/>
  <c r="J51" i="4" s="1"/>
  <c r="K51" i="4" s="1"/>
  <c r="J28" i="4"/>
  <c r="K28" i="4" s="1"/>
  <c r="F13" i="4"/>
  <c r="J13" i="4" s="1"/>
  <c r="K13" i="4" s="1"/>
  <c r="F58" i="4"/>
  <c r="J58" i="4" s="1"/>
  <c r="K58" i="4" s="1"/>
  <c r="J32" i="4"/>
  <c r="K32" i="4" s="1"/>
  <c r="F55" i="4"/>
  <c r="J55" i="4" s="1"/>
  <c r="K55" i="4" s="1"/>
  <c r="F10" i="4"/>
  <c r="J10" i="4" s="1"/>
  <c r="K10" i="4" s="1"/>
  <c r="M40" i="3" a="1"/>
  <c r="M40" i="3" s="1"/>
  <c r="I40" i="3" a="1"/>
  <c r="I40" i="3" s="1"/>
  <c r="B186" i="1"/>
  <c r="G183" i="1" s="1"/>
  <c r="B147" i="1"/>
  <c r="G144" i="1" s="1"/>
  <c r="B225" i="1"/>
  <c r="D187" i="1" l="1"/>
  <c r="L27" i="4"/>
  <c r="L5" i="4"/>
  <c r="D149" i="1"/>
  <c r="B188" i="1"/>
  <c r="D188" i="1"/>
  <c r="B148" i="1"/>
  <c r="B149" i="1"/>
  <c r="D148" i="1"/>
  <c r="G222" i="1"/>
  <c r="D226" i="1" s="1"/>
  <c r="B226" i="1"/>
  <c r="B227" i="1"/>
  <c r="D227"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<sst xmlns="http://schemas.openxmlformats.org/spreadsheetml/2006/main" count="350" uniqueCount="170">
  <si>
    <t>Data:</t>
  </si>
  <si>
    <t>Grup pràctiques:</t>
  </si>
  <si>
    <t>Parella:</t>
  </si>
  <si>
    <t>Alumnes:</t>
  </si>
  <si>
    <t>ml enràs</t>
  </si>
  <si>
    <t>n</t>
  </si>
  <si>
    <t>Comentaris:</t>
  </si>
  <si>
    <t>Informe pràctica F</t>
  </si>
  <si>
    <t>concentració estoc</t>
  </si>
  <si>
    <t>0,3</t>
  </si>
  <si>
    <t>0,4</t>
  </si>
  <si>
    <t>0,5</t>
  </si>
  <si>
    <t>mg/L</t>
  </si>
  <si>
    <r>
      <t>Patró (mg/L Co</t>
    </r>
    <r>
      <rPr>
        <vertAlign val="superscript"/>
        <sz val="11"/>
        <color theme="1"/>
        <rFont val="Arial"/>
        <family val="2"/>
      </rPr>
      <t>2+</t>
    </r>
    <r>
      <rPr>
        <sz val="11"/>
        <color theme="1"/>
        <rFont val="Arial"/>
        <family val="2"/>
      </rPr>
      <t>)</t>
    </r>
  </si>
  <si>
    <t>conc. dissoluc. Intermèdia</t>
  </si>
  <si>
    <r>
      <t>ml dissoluc. Interm. Co</t>
    </r>
    <r>
      <rPr>
        <vertAlign val="superscript"/>
        <sz val="11"/>
        <color theme="1"/>
        <rFont val="Arial"/>
        <family val="2"/>
      </rPr>
      <t>2+</t>
    </r>
  </si>
  <si>
    <r>
      <t>Patró (mg/L Ni</t>
    </r>
    <r>
      <rPr>
        <vertAlign val="superscript"/>
        <sz val="11"/>
        <color theme="1"/>
        <rFont val="Arial"/>
        <family val="2"/>
      </rPr>
      <t>2+</t>
    </r>
    <r>
      <rPr>
        <sz val="11"/>
        <color theme="1"/>
        <rFont val="Arial"/>
        <family val="2"/>
      </rPr>
      <t>)</t>
    </r>
  </si>
  <si>
    <r>
      <t>ml dissoluc. Interm. Ni</t>
    </r>
    <r>
      <rPr>
        <vertAlign val="superscript"/>
        <sz val="11"/>
        <color theme="1"/>
        <rFont val="Arial"/>
        <family val="2"/>
      </rPr>
      <t>2+</t>
    </r>
  </si>
  <si>
    <t>Mostres</t>
  </si>
  <si>
    <r>
      <t>conc.  Ni/Co</t>
    </r>
    <r>
      <rPr>
        <vertAlign val="superscript"/>
        <sz val="11"/>
        <color theme="1"/>
        <rFont val="Arial"/>
        <family val="2"/>
      </rPr>
      <t xml:space="preserve">  </t>
    </r>
    <r>
      <rPr>
        <sz val="11"/>
        <color theme="1"/>
        <rFont val="Arial"/>
        <family val="2"/>
      </rPr>
      <t xml:space="preserve">(mg/L) </t>
    </r>
  </si>
  <si>
    <t>0,2 / 0,4</t>
  </si>
  <si>
    <t>0,4 / 0,4</t>
  </si>
  <si>
    <t>0,4 / 0,2</t>
  </si>
  <si>
    <r>
      <t>conc. dissoluc. intermèdia Co</t>
    </r>
    <r>
      <rPr>
        <vertAlign val="superscript"/>
        <sz val="11"/>
        <color theme="1"/>
        <rFont val="Arial"/>
        <family val="2"/>
      </rPr>
      <t>2+</t>
    </r>
  </si>
  <si>
    <r>
      <t>conc. dissoluc. intermèdia Ni</t>
    </r>
    <r>
      <rPr>
        <vertAlign val="superscript"/>
        <sz val="11"/>
        <color theme="1"/>
        <rFont val="Arial"/>
        <family val="2"/>
      </rPr>
      <t>2+</t>
    </r>
  </si>
  <si>
    <r>
      <t>ml dissoluc. interm. Co</t>
    </r>
    <r>
      <rPr>
        <vertAlign val="superscript"/>
        <sz val="11"/>
        <color theme="1"/>
        <rFont val="Arial"/>
        <family val="2"/>
      </rPr>
      <t>2+</t>
    </r>
  </si>
  <si>
    <r>
      <t>ml dissoluc. interm. Ni</t>
    </r>
    <r>
      <rPr>
        <vertAlign val="superscript"/>
        <sz val="11"/>
        <color theme="1"/>
        <rFont val="Arial"/>
        <family val="2"/>
      </rPr>
      <t>2+</t>
    </r>
  </si>
  <si>
    <t>Longitud d'ona (nm)</t>
  </si>
  <si>
    <r>
      <t>Patrons Co</t>
    </r>
    <r>
      <rPr>
        <vertAlign val="superscript"/>
        <sz val="11"/>
        <color theme="1"/>
        <rFont val="Arial"/>
        <family val="2"/>
      </rPr>
      <t>2+</t>
    </r>
    <r>
      <rPr>
        <sz val="11"/>
        <color theme="1"/>
        <rFont val="Arial"/>
        <family val="2"/>
      </rPr>
      <t xml:space="preserve"> (mg/L)</t>
    </r>
  </si>
  <si>
    <r>
      <t>Patrons Ni</t>
    </r>
    <r>
      <rPr>
        <vertAlign val="superscript"/>
        <sz val="11"/>
        <color theme="1"/>
        <rFont val="Arial"/>
        <family val="2"/>
      </rPr>
      <t>2+</t>
    </r>
    <r>
      <rPr>
        <sz val="11"/>
        <color theme="1"/>
        <rFont val="Arial"/>
        <family val="2"/>
      </rPr>
      <t xml:space="preserve"> (mg/L)</t>
    </r>
  </si>
  <si>
    <t>Patrons Ni</t>
  </si>
  <si>
    <t>Patrons Co</t>
  </si>
  <si>
    <t>1. Descripció de les mostres</t>
  </si>
  <si>
    <t>2. Instrumentació</t>
  </si>
  <si>
    <t>3. Patrons Co(II)</t>
  </si>
  <si>
    <t>4. Patrons Ni(II)</t>
  </si>
  <si>
    <t>5. Mostres</t>
  </si>
  <si>
    <t>6. Mesures absorbància</t>
  </si>
  <si>
    <t>7. Espectres:</t>
  </si>
  <si>
    <t>8. Tractament de dades:</t>
  </si>
  <si>
    <t>y</t>
  </si>
  <si>
    <t>x</t>
  </si>
  <si>
    <t>8.1 Mètode Gràfic:</t>
  </si>
  <si>
    <t>8.1.a. Càlcul constant proporcionalitat: k=ε·b</t>
  </si>
  <si>
    <t>promig</t>
  </si>
  <si>
    <t>8.1.d. Mostra Ni/Co 0,2/0,4 (mg/L)</t>
  </si>
  <si>
    <t>Pendent</t>
  </si>
  <si>
    <t>Ord. Origen</t>
  </si>
  <si>
    <t>desv. estand. Pendent</t>
  </si>
  <si>
    <t>desv. estand. Ord. Origen</t>
  </si>
  <si>
    <t>8.1.e. Resultats mètode gràfic:</t>
  </si>
  <si>
    <t>8.2. Regressió Lineal Múltiple Clàssica (CLS)</t>
  </si>
  <si>
    <t>8.2.b: càlcul matricial</t>
  </si>
  <si>
    <t>Comentaris</t>
  </si>
  <si>
    <r>
      <t>conc.  Ni/Co</t>
    </r>
    <r>
      <rPr>
        <b/>
        <vertAlign val="superscript"/>
        <sz val="11"/>
        <color theme="1"/>
        <rFont val="Arial"/>
        <family val="2"/>
      </rPr>
      <t xml:space="preserve">  </t>
    </r>
    <r>
      <rPr>
        <b/>
        <sz val="11"/>
        <color theme="1"/>
        <rFont val="Arial"/>
        <family val="2"/>
      </rPr>
      <t xml:space="preserve">(mg/L) </t>
    </r>
  </si>
  <si>
    <t>8.2.a: Solver</t>
  </si>
  <si>
    <t>els càlculs s'han de fer a la pestanya "Matricial"</t>
  </si>
  <si>
    <t>9. Comparativa dels tres mètodes:</t>
  </si>
  <si>
    <t>els càlculs s'han de fer a la pestanya "Solver" (heu d'afegir una captura de pantalla dels paràmetres inicials del Solver abans d'executar-ho)</t>
  </si>
  <si>
    <t>Degut al apagon que va haver-hi a tota espanya el dia 28/4 es va fer una reorganització de les pràctiques i no vam poder fer aquesta al laboratori. Malgrat això, ens van donar les dades d'algun altre grup perquè poguéssim fer l'anàlisi de dades.</t>
  </si>
  <si>
    <t>1.2 (G2) Matí - 1r torn</t>
  </si>
  <si>
    <t>Gerard Moreno Mas i Òscar Losada Garcia</t>
  </si>
  <si>
    <t>M_01</t>
  </si>
  <si>
    <t>8.1.c. Mostra Ni/Co 0,4/0,4 (mg/L)</t>
  </si>
  <si>
    <t>8.1.b. Mostra Ni/Co 0,4/0,2 (mg/L)</t>
  </si>
  <si>
    <t>No tenim els espectres perquè només ens han proporcionat</t>
  </si>
  <si>
    <t>les dades de les absorbàncies (vegeu comentari d'abaix)</t>
  </si>
  <si>
    <t>-</t>
  </si>
  <si>
    <t>Am</t>
  </si>
  <si>
    <t>L'equip és un espectrofotòmetre Jasco V-730 de doble feix.</t>
  </si>
  <si>
    <t>k1 niquel promig</t>
  </si>
  <si>
    <t>k2 cobalt promig</t>
  </si>
  <si>
    <t>mescla K2/K1 (la x)</t>
  </si>
  <si>
    <t>Am / k1 (la y)</t>
  </si>
  <si>
    <r>
      <t>Les mostres són mescles binàries de solucions ja preparades de Ni(II) i Co(II). Aquestes s'han preparat a partir de les sals Co(NO</t>
    </r>
    <r>
      <rPr>
        <vertAlign val="subscript"/>
        <sz val="11"/>
        <color theme="1"/>
        <rFont val="Arial"/>
        <family val="2"/>
      </rPr>
      <t>3</t>
    </r>
    <r>
      <rPr>
        <sz val="11"/>
        <color theme="1"/>
        <rFont val="Arial"/>
        <family val="2"/>
      </rPr>
      <t>)</t>
    </r>
    <r>
      <rPr>
        <vertAlign val="subscript"/>
        <sz val="11"/>
        <color theme="1"/>
        <rFont val="Arial"/>
        <family val="2"/>
      </rPr>
      <t>2</t>
    </r>
    <r>
      <rPr>
        <sz val="11"/>
        <color theme="1"/>
        <rFont val="Arial"/>
        <family val="2"/>
      </rPr>
      <t>·6H2O i Ni(NO3)2·6H2O, respectivament.</t>
    </r>
  </si>
  <si>
    <t>A causa de l'aturada elèctrica no vam poder fer la pràctica i les dades d'absorbància ens han estat proporcionades pel Xavier.</t>
  </si>
  <si>
    <t>0,2 / 0,4 (mg/mL)</t>
  </si>
  <si>
    <t>0,4 / 0,4 (mg/mL)</t>
  </si>
  <si>
    <t>y= a + bx</t>
  </si>
  <si>
    <t>b</t>
  </si>
  <si>
    <t>a</t>
  </si>
  <si>
    <t>u_b</t>
  </si>
  <si>
    <t>u_a</t>
  </si>
  <si>
    <t>R^2</t>
  </si>
  <si>
    <t>S_{y/x}</t>
  </si>
  <si>
    <t>F</t>
  </si>
  <si>
    <t>dof</t>
  </si>
  <si>
    <t>Ssreg</t>
  </si>
  <si>
    <t>Ssresid</t>
  </si>
  <si>
    <t>y_{avg}</t>
  </si>
  <si>
    <t>S_{xx}</t>
  </si>
  <si>
    <t>0,4 / 0,2 (mg/mL)</t>
  </si>
  <si>
    <t>k2 cobalt</t>
  </si>
  <si>
    <t>k1 niquel</t>
  </si>
  <si>
    <t>std</t>
  </si>
  <si>
    <t>SOLVER</t>
  </si>
  <si>
    <t>c1</t>
  </si>
  <si>
    <t>c2</t>
  </si>
  <si>
    <t>e</t>
  </si>
  <si>
    <t>exp</t>
  </si>
  <si>
    <t>Trobem desviacions estàndards mostrals petites (poc error relatiu). Per tant, no descartem cap punt per a calcular aquestes constants a partir de la mitjana de les tres dades.</t>
  </si>
  <si>
    <t>calculat</t>
  </si>
  <si>
    <t>dif</t>
  </si>
  <si>
    <t>dif^2</t>
  </si>
  <si>
    <t>suma</t>
  </si>
  <si>
    <t>c1 (niquel)</t>
  </si>
  <si>
    <t>c2 (cobalt)</t>
  </si>
  <si>
    <t>El pendent de les rectes correspon a c_2 i l'ordenada a l'origen a c_1.</t>
  </si>
  <si>
    <t>(0.471  ± 0.005) mg/mL</t>
  </si>
  <si>
    <t>(0.133  ± 0.006) mg/mL</t>
  </si>
  <si>
    <t>(0.476  ± 0.003) mg/mL</t>
  </si>
  <si>
    <t>(0.332  ± 0.004) mg/mL</t>
  </si>
  <si>
    <t>(0.212  ± 0.001) mg/mL</t>
  </si>
  <si>
    <t>(0.391  ± 0.001) mg/mL</t>
  </si>
  <si>
    <t>Mostres Ni / Co (mg/L)</t>
  </si>
  <si>
    <r>
      <t>Les dades fan bon fitting lineal (R</t>
    </r>
    <r>
      <rPr>
        <vertAlign val="superscript"/>
        <sz val="11"/>
        <color theme="1"/>
        <rFont val="Arial"/>
        <family val="2"/>
      </rPr>
      <t>2</t>
    </r>
    <r>
      <rPr>
        <sz val="11"/>
        <color theme="1"/>
        <rFont val="Arial"/>
        <family val="2"/>
      </rPr>
      <t>=1,000).</t>
    </r>
  </si>
  <si>
    <r>
      <t>Les dades fan bon fitting lineal (R</t>
    </r>
    <r>
      <rPr>
        <vertAlign val="superscript"/>
        <sz val="11"/>
        <color theme="1"/>
        <rFont val="Arial"/>
        <family val="2"/>
      </rPr>
      <t>2</t>
    </r>
    <r>
      <rPr>
        <sz val="11"/>
        <color theme="1"/>
        <rFont val="Arial"/>
        <family val="2"/>
      </rPr>
      <t>=0,999).</t>
    </r>
  </si>
  <si>
    <t>λ (nm)</t>
  </si>
  <si>
    <t>Els paràmetres inicials eren 0,4 per C1 (Ni) i 0,2 per a C2 (Co); 0,04 per la e</t>
  </si>
  <si>
    <t>Els paràmetres inicials eren 0,4 per C1 (Ni) i 0,4 per a C2 (Co); 0,04 per la e</t>
  </si>
  <si>
    <t>Els paràmetres inicials eren 0,2 per C1 (Ni) i 0,4 per a C2 (Co); 0,04 per la e</t>
  </si>
  <si>
    <t>c1 (niquel) (mg/mL)</t>
  </si>
  <si>
    <t>c2 (cobalt) (mg/mL)</t>
  </si>
  <si>
    <t>Matriu K</t>
  </si>
  <si>
    <t xml:space="preserve">K = </t>
  </si>
  <si>
    <t>Vector C</t>
  </si>
  <si>
    <t xml:space="preserve">C = </t>
  </si>
  <si>
    <t>c1 és Ni</t>
  </si>
  <si>
    <t>c2 és Co</t>
  </si>
  <si>
    <r>
      <t>Les dades no fan bon fitting lineal (R</t>
    </r>
    <r>
      <rPr>
        <vertAlign val="superscript"/>
        <sz val="11"/>
        <color theme="1"/>
        <rFont val="Arial"/>
        <family val="2"/>
      </rPr>
      <t>2</t>
    </r>
    <r>
      <rPr>
        <sz val="11"/>
        <color theme="1"/>
        <rFont val="Arial"/>
        <family val="2"/>
      </rPr>
      <t>=0,976) com la resta, però el coeficient de regressió és acceptable. En eliminar els primers punts, que sembla que es desvien de la linealitat, la R2 empitjora a 0.959, així que hem preferit conservar tots els valors.</t>
    </r>
  </si>
  <si>
    <t>Tot i obtenir-ne una desviació estàndard petita, s'obtenen concentracions del mateix ordre de magnitud i que reprodueixen qui té més concentració en el primer i tercer cas, però en tot cas obtenim valors no compatibles amb els esperats. Per tant, concloïm que aquest mètode no és rigorós, tot i ser una primera aproximació a les veritables concentracions. L'equació que hem agafat com a vàlida no té el factor soroll, que se suma al valor d'absorbància. En uns dels casos en què calculme la constant k, arribem a tenir un 15% d'error relatiu entre la mitjana i uns dels valors, fet que tampoc és menyspreable... El mètodes solver i matriu hi posen solució a la consideració de l'error. El primer (solver) considerant un mateix soroll per a cada mescla i, el segon (matriu), considerant un error diferent per a cada longitud d'ona.</t>
  </si>
  <si>
    <r>
      <t>Matriu K</t>
    </r>
    <r>
      <rPr>
        <vertAlign val="superscript"/>
        <sz val="11"/>
        <color theme="1"/>
        <rFont val="Calibri"/>
        <family val="2"/>
        <scheme val="minor"/>
      </rPr>
      <t>t</t>
    </r>
  </si>
  <si>
    <r>
      <t>K</t>
    </r>
    <r>
      <rPr>
        <b/>
        <vertAlign val="superscript"/>
        <sz val="11"/>
        <color theme="1"/>
        <rFont val="Calibri"/>
        <family val="2"/>
        <scheme val="minor"/>
      </rPr>
      <t>t</t>
    </r>
    <r>
      <rPr>
        <b/>
        <sz val="11"/>
        <color theme="1"/>
        <rFont val="Calibri"/>
        <family val="2"/>
        <scheme val="minor"/>
      </rPr>
      <t xml:space="preserve"> = </t>
    </r>
  </si>
  <si>
    <r>
      <t>K</t>
    </r>
    <r>
      <rPr>
        <b/>
        <vertAlign val="superscript"/>
        <sz val="11"/>
        <color theme="1"/>
        <rFont val="Calibri"/>
        <family val="2"/>
        <scheme val="minor"/>
      </rPr>
      <t>t</t>
    </r>
    <r>
      <rPr>
        <b/>
        <sz val="11"/>
        <color theme="1"/>
        <rFont val="Calibri"/>
        <family val="2"/>
        <scheme val="minor"/>
      </rPr>
      <t xml:space="preserve"> K = </t>
    </r>
  </si>
  <si>
    <r>
      <t>Matriu K</t>
    </r>
    <r>
      <rPr>
        <vertAlign val="superscript"/>
        <sz val="11"/>
        <color theme="1"/>
        <rFont val="Calibri"/>
        <family val="2"/>
        <scheme val="minor"/>
      </rPr>
      <t>t</t>
    </r>
    <r>
      <rPr>
        <b/>
        <sz val="11"/>
        <color theme="1"/>
        <rFont val="Calibri"/>
        <family val="2"/>
        <scheme val="minor"/>
      </rPr>
      <t xml:space="preserve"> K</t>
    </r>
  </si>
  <si>
    <r>
      <t>Matriu (K</t>
    </r>
    <r>
      <rPr>
        <vertAlign val="superscript"/>
        <sz val="11"/>
        <color theme="1"/>
        <rFont val="Calibri"/>
        <family val="2"/>
        <scheme val="minor"/>
      </rPr>
      <t>t</t>
    </r>
    <r>
      <rPr>
        <b/>
        <sz val="11"/>
        <color theme="1"/>
        <rFont val="Calibri"/>
        <family val="2"/>
        <scheme val="minor"/>
      </rPr>
      <t xml:space="preserve"> K)</t>
    </r>
    <r>
      <rPr>
        <b/>
        <vertAlign val="superscript"/>
        <sz val="11"/>
        <color theme="1"/>
        <rFont val="Calibri"/>
        <family val="2"/>
        <scheme val="minor"/>
      </rPr>
      <t>-1</t>
    </r>
  </si>
  <si>
    <r>
      <t>(K</t>
    </r>
    <r>
      <rPr>
        <b/>
        <vertAlign val="superscript"/>
        <sz val="11"/>
        <color theme="1"/>
        <rFont val="Calibri"/>
        <family val="2"/>
        <scheme val="minor"/>
      </rPr>
      <t>t</t>
    </r>
    <r>
      <rPr>
        <b/>
        <sz val="11"/>
        <color theme="1"/>
        <rFont val="Calibri"/>
        <family val="2"/>
        <scheme val="minor"/>
      </rPr>
      <t xml:space="preserve"> K)</t>
    </r>
    <r>
      <rPr>
        <b/>
        <vertAlign val="superscript"/>
        <sz val="11"/>
        <color theme="1"/>
        <rFont val="Calibri"/>
        <family val="2"/>
        <scheme val="minor"/>
      </rPr>
      <t>-1</t>
    </r>
    <r>
      <rPr>
        <b/>
        <sz val="11"/>
        <color theme="1"/>
        <rFont val="Calibri"/>
        <family val="2"/>
        <scheme val="minor"/>
      </rPr>
      <t xml:space="preserve"> = </t>
    </r>
  </si>
  <si>
    <r>
      <t>(K</t>
    </r>
    <r>
      <rPr>
        <b/>
        <vertAlign val="superscript"/>
        <sz val="11"/>
        <color theme="1"/>
        <rFont val="Calibri"/>
        <family val="2"/>
        <scheme val="minor"/>
      </rPr>
      <t>t</t>
    </r>
    <r>
      <rPr>
        <b/>
        <sz val="11"/>
        <color theme="1"/>
        <rFont val="Calibri"/>
        <family val="2"/>
        <scheme val="minor"/>
      </rPr>
      <t xml:space="preserve"> K)</t>
    </r>
    <r>
      <rPr>
        <b/>
        <vertAlign val="superscript"/>
        <sz val="11"/>
        <color theme="1"/>
        <rFont val="Calibri"/>
        <family val="2"/>
        <scheme val="minor"/>
      </rPr>
      <t>-1</t>
    </r>
    <r>
      <rPr>
        <b/>
        <sz val="11"/>
        <color theme="1"/>
        <rFont val="Calibri"/>
        <family val="2"/>
        <scheme val="minor"/>
      </rPr>
      <t xml:space="preserve"> K</t>
    </r>
    <r>
      <rPr>
        <b/>
        <vertAlign val="superscript"/>
        <sz val="11"/>
        <color theme="1"/>
        <rFont val="Calibri"/>
        <family val="2"/>
        <scheme val="minor"/>
      </rPr>
      <t>t</t>
    </r>
    <r>
      <rPr>
        <b/>
        <sz val="11"/>
        <color theme="1"/>
        <rFont val="Calibri"/>
        <family val="2"/>
        <scheme val="minor"/>
      </rPr>
      <t xml:space="preserve"> = </t>
    </r>
  </si>
  <si>
    <r>
      <t>Matriu (K</t>
    </r>
    <r>
      <rPr>
        <vertAlign val="superscript"/>
        <sz val="11"/>
        <color theme="1"/>
        <rFont val="Calibri"/>
        <family val="2"/>
        <scheme val="minor"/>
      </rPr>
      <t>t</t>
    </r>
    <r>
      <rPr>
        <b/>
        <sz val="11"/>
        <color theme="1"/>
        <rFont val="Calibri"/>
        <family val="2"/>
        <scheme val="minor"/>
      </rPr>
      <t xml:space="preserve"> K)</t>
    </r>
    <r>
      <rPr>
        <b/>
        <vertAlign val="superscript"/>
        <sz val="11"/>
        <color theme="1"/>
        <rFont val="Calibri"/>
        <family val="2"/>
        <scheme val="minor"/>
      </rPr>
      <t>-1</t>
    </r>
    <r>
      <rPr>
        <b/>
        <sz val="11"/>
        <color theme="1"/>
        <rFont val="Calibri"/>
        <family val="2"/>
        <scheme val="minor"/>
      </rPr>
      <t xml:space="preserve"> K</t>
    </r>
    <r>
      <rPr>
        <b/>
        <vertAlign val="superscript"/>
        <sz val="11"/>
        <color theme="1"/>
        <rFont val="Calibri"/>
        <family val="2"/>
        <scheme val="minor"/>
      </rPr>
      <t>t</t>
    </r>
  </si>
  <si>
    <t>Vector A</t>
  </si>
  <si>
    <t>Vector de les absorbàncies de la mostra-mescla</t>
  </si>
  <si>
    <t>En el primer cas sí obtenim resultats compatibles amb el valor esperat en la preparació de la mescla binària. En el segon cas, en què les concentracions haurien de ser iguals, obtenim concentracions molt diferents (diferència relativa del 30%). En el tercer cas ens trobem amb el mateix, que el níquel obté una concentració més gran que l'esperada, en detriment de una menor concentració per al cobalt (casos 2 i 3).</t>
  </si>
  <si>
    <t>El valor de e està en els tres casos per sota de 0.01. Per tant, és petit i no ens fa sospitar cap error experimental greu. No només això, sinó que els dos primers tenen un error de zero. Les concentracions segueixen sent molt semblant a les del mètode anterior, en què no s'ha tingut en compte l'error. Per tant, no hem avançat gaire. El primer cas ens dona dades compatibles amb els valors teòrics o esperats. En canvi en els dos següents casos això no és així. La concentració de níquel obtinguda es veu magnificada, en detriment de la del cobalt, que es veu disminuïda.</t>
  </si>
  <si>
    <r>
      <t xml:space="preserve">Els tres mètodes donen dades molt similars, com era d'esperar, atès que la quantitat que estem sumant a l'absorbància en els casos solver i matrius és petita en comparació amb els valors d'absorbància. Tot i que esperaríem que amb el mètode matrius obtinguéssim millors resultats per a les concentracions, realment els resultats són prou similars. </t>
    </r>
    <r>
      <rPr>
        <u/>
        <sz val="11"/>
        <color theme="1"/>
        <rFont val="Arial"/>
        <family val="2"/>
      </rPr>
      <t>Concloem que els tres mètodes donen resultats de concentració similars, i que en els casos 0,4 /0,4 i 0,4 / 0,2, els resultats no concorden amb el que esperaríem.</t>
    </r>
  </si>
  <si>
    <t>Les desviacions estàndards mostrals per al cobalt estan OK, no descartem cap valor!!</t>
  </si>
  <si>
    <t>Per a la conc 0,5:</t>
  </si>
  <si>
    <t>std ok</t>
  </si>
  <si>
    <t>Fem servir el test Q (criteri de Dixton)</t>
  </si>
  <si>
    <t>Q_{exp}</t>
  </si>
  <si>
    <t>Q_{tab} 90% confiança per a N=3</t>
  </si>
  <si>
    <t>Com Q_{exp} &gt; Q_{tab}, hem de descartar el valor.</t>
  </si>
  <si>
    <t>No descartem el valor de la conc 0,5</t>
  </si>
  <si>
    <t>No descartem el valor de la conc 0,6</t>
  </si>
  <si>
    <t>No descartem el valor de la conc 0,7</t>
  </si>
  <si>
    <t>No descartem el valor de la conc 0,8</t>
  </si>
  <si>
    <t>No descartem el valor de la conc 0,9</t>
  </si>
  <si>
    <t>No descartem el valor de la conc 0,10</t>
  </si>
  <si>
    <t>No descartem el valor de la conc 0,11</t>
  </si>
  <si>
    <t>No descartem el valor de la conc 0,12</t>
  </si>
  <si>
    <t>No descartem el valor de la conc 0,13</t>
  </si>
  <si>
    <t>No descartem el valor de la conc 0,14</t>
  </si>
  <si>
    <t>Només hem descartat un valor, però sí notem que amb el níquel tenim desviacions estàndards importants… Diferències relatives de fins al 15%.</t>
  </si>
  <si>
    <t>0,209 / 0,396</t>
  </si>
  <si>
    <t>0,470 / 0,341</t>
  </si>
  <si>
    <t>0,464 / 0,142</t>
  </si>
  <si>
    <t>Observem que el penúltim punt (545 nm) després de fer el solver no</t>
  </si>
  <si>
    <t>s'acaba d'ajustar bé, però en esborrar-lo el resultat és encara pitjor.</t>
  </si>
  <si>
    <t>Així que no esborrem cap punt.</t>
  </si>
  <si>
    <t>Els punts experimentals i calculats se superposen bé al gràfic.</t>
  </si>
  <si>
    <t>No descartem cap punt.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</si>
</sst>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
    <numFmt numFmtId="165" formatCode="0.000"/>
    <numFmt numFmtId="166" formatCode="0.0000"/>
    <numFmt numFmtId="167" formatCode="0.00000"/>
    <numFmt numFmtId="168" formatCode="0.0E+00"/>
  </numFmts>
  <fonts count="17" x14ac:knownFonts="1">
    <font>
      <sz val="11"/>
      <color theme="1"/>
      <name val="Calibri"/>
      <family val="2"/>
      <scheme val="minor"/>
    </font>
    <font>
      <sz val="11"/>
      <color theme="1"/>
      <name val="Arial"/>
      <family val="2"/>
    </font>
    <font>
      <b/>
      <sz val="11"/>
      <color theme="1"/>
      <name val="Arial"/>
      <family val="2"/>
    </font>
    <font>
      <b/>
      <sz val="12"/>
      <color theme="1"/>
      <name val="Arial"/>
      <family val="2"/>
    </font>
    <font>
      <b/>
      <sz val="14"/>
      <color theme="1"/>
      <name val="Arial"/>
      <family val="2"/>
    </font>
    <font>
      <sz val="12"/>
      <color theme="1"/>
      <name val="Arial"/>
      <family val="2"/>
    </font>
    <font>
      <vertAlign val="superscript"/>
      <sz val="11"/>
      <color theme="1"/>
      <name val="Arial"/>
      <family val="2"/>
    </font>
    <font>
      <b/>
      <vertAlign val="superscript"/>
      <sz val="11"/>
      <color theme="1"/>
      <name val="Arial"/>
      <family val="2"/>
    </font>
    <font>
      <vertAlign val="subscript"/>
      <sz val="11"/>
      <color theme="1"/>
      <name val="Arial"/>
      <family val="2"/>
    </font>
    <font>
      <b/>
      <sz val="30"/>
      <color rgb="FFFF0000"/>
      <name val="Arial"/>
      <family val="2"/>
    </font>
    <font>
      <sz val="11"/>
      <color rgb="FF000000"/>
      <name val="Arial"/>
      <family val="2"/>
    </font>
    <font>
      <b/>
      <sz val="11"/>
      <color theme="1"/>
      <name val="Calibri"/>
      <family val="2"/>
      <scheme val="minor"/>
    </font>
    <font>
      <b/>
      <vertAlign val="superscript"/>
      <sz val="11"/>
      <color theme="1"/>
      <name val="Calibri"/>
      <family val="2"/>
      <scheme val="minor"/>
    </font>
    <font>
      <vertAlign val="superscript"/>
      <sz val="11"/>
      <color theme="1"/>
      <name val="Calibri"/>
      <family val="2"/>
      <scheme val="minor"/>
    </font>
    <font>
      <u/>
      <sz val="11"/>
      <color theme="1"/>
      <name val="Arial"/>
      <family val="2"/>
    </font>
    <font>
      <b/>
      <sz val="11"/>
      <color theme="9"/>
      <name val="Arial"/>
      <family val="2"/>
    </font>
    <font>
      <sz val="8"/>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bgColor indexed="64"/>
      </patternFill>
    </fill>
    <fill>
      <patternFill patternType="solid">
        <fgColor theme="4" tint="0.39997558519241921"/>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style="thin">
        <color indexed="64"/>
      </right>
      <top/>
      <bottom/>
      <diagonal/>
    </border>
  </borders>
  <cellStyleXfs count="1">
    <xf numFmtId="0" fontId="0" fillId="0" borderId="0"/>
  </cellStyleXfs>
  <cellXfs count="136">
    <xf numFmtId="0" fontId="0" fillId="0" borderId="0" xfId="0"/>
    <xf numFmtId="0" fontId="1" fillId="0" borderId="1" xfId="0" applyFont="1" applyBorder="1" applyAlignment="1">
      <alignment vertical="center"/>
    </xf>
    <xf numFmtId="0" fontId="1" fillId="0" borderId="0" xfId="0" applyFont="1" applyAlignment="1">
      <alignment vertical="center"/>
    </xf>
    <xf numFmtId="0" fontId="4"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6"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2" fillId="0" borderId="0" xfId="0" applyFont="1"/>
    <xf numFmtId="0" fontId="1" fillId="0" borderId="0" xfId="0" applyFont="1" applyAlignment="1">
      <alignment horizontal="center" vertical="center"/>
    </xf>
    <xf numFmtId="0" fontId="2" fillId="0" borderId="1" xfId="0" applyFont="1" applyBorder="1" applyAlignment="1">
      <alignment vertical="center"/>
    </xf>
    <xf numFmtId="0" fontId="2" fillId="0" borderId="13" xfId="0" applyFont="1" applyBorder="1" applyAlignment="1">
      <alignment vertical="center"/>
    </xf>
    <xf numFmtId="0" fontId="1" fillId="0" borderId="0" xfId="0" applyFont="1"/>
    <xf numFmtId="0" fontId="2" fillId="0" borderId="18" xfId="0" applyFont="1" applyBorder="1" applyAlignment="1">
      <alignment horizontal="center" vertical="center"/>
    </xf>
    <xf numFmtId="0" fontId="2" fillId="0" borderId="14" xfId="0" applyFont="1" applyBorder="1" applyAlignment="1">
      <alignment horizontal="center" vertical="center"/>
    </xf>
    <xf numFmtId="0" fontId="2" fillId="0" borderId="19" xfId="0" applyFont="1" applyBorder="1" applyAlignment="1">
      <alignment horizontal="center" vertical="center"/>
    </xf>
    <xf numFmtId="0" fontId="2" fillId="0" borderId="0" xfId="0" applyFont="1" applyAlignment="1">
      <alignment horizontal="center" vertical="center"/>
    </xf>
    <xf numFmtId="0" fontId="2" fillId="0" borderId="20" xfId="0" applyFont="1" applyBorder="1" applyAlignment="1">
      <alignment horizontal="center" vertical="center"/>
    </xf>
    <xf numFmtId="0" fontId="2" fillId="0" borderId="23" xfId="0" applyFont="1" applyBorder="1" applyAlignment="1">
      <alignment horizontal="center" vertical="center"/>
    </xf>
    <xf numFmtId="0" fontId="2" fillId="0" borderId="26"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164" fontId="1" fillId="0" borderId="21" xfId="0" applyNumberFormat="1" applyFont="1" applyBorder="1" applyAlignment="1">
      <alignment horizontal="center" vertical="center"/>
    </xf>
    <xf numFmtId="164" fontId="1" fillId="0" borderId="20" xfId="0" applyNumberFormat="1" applyFont="1" applyBorder="1" applyAlignment="1">
      <alignment horizontal="center" vertical="center"/>
    </xf>
    <xf numFmtId="164" fontId="1" fillId="0" borderId="22" xfId="0" applyNumberFormat="1" applyFont="1" applyBorder="1" applyAlignment="1">
      <alignment horizontal="center" vertical="center"/>
    </xf>
    <xf numFmtId="164" fontId="1" fillId="0" borderId="8" xfId="0" applyNumberFormat="1" applyFont="1" applyBorder="1" applyAlignment="1">
      <alignment horizontal="center" vertical="center"/>
    </xf>
    <xf numFmtId="164" fontId="1" fillId="0" borderId="29" xfId="0" applyNumberFormat="1" applyFont="1" applyBorder="1" applyAlignment="1">
      <alignment horizontal="center" vertical="center"/>
    </xf>
    <xf numFmtId="164" fontId="1" fillId="0" borderId="30" xfId="0" applyNumberFormat="1" applyFont="1" applyBorder="1" applyAlignment="1">
      <alignment horizontal="center" vertical="center"/>
    </xf>
    <xf numFmtId="164" fontId="1" fillId="0" borderId="24" xfId="0" applyNumberFormat="1" applyFont="1" applyBorder="1" applyAlignment="1">
      <alignment horizontal="center" vertical="center"/>
    </xf>
    <xf numFmtId="164" fontId="1" fillId="0" borderId="23" xfId="0" applyNumberFormat="1" applyFont="1" applyBorder="1" applyAlignment="1">
      <alignment horizontal="center" vertical="center"/>
    </xf>
    <xf numFmtId="164" fontId="1" fillId="0" borderId="25" xfId="0" applyNumberFormat="1" applyFont="1" applyBorder="1" applyAlignment="1">
      <alignment horizontal="center" vertical="center"/>
    </xf>
    <xf numFmtId="164" fontId="1" fillId="0" borderId="11" xfId="0" applyNumberFormat="1" applyFont="1" applyBorder="1" applyAlignment="1">
      <alignment horizontal="center" vertical="center"/>
    </xf>
    <xf numFmtId="164" fontId="1" fillId="0" borderId="1" xfId="0" applyNumberFormat="1" applyFont="1" applyBorder="1" applyAlignment="1">
      <alignment horizontal="center" vertical="center"/>
    </xf>
    <xf numFmtId="164" fontId="1" fillId="0" borderId="31" xfId="0" applyNumberFormat="1" applyFont="1" applyBorder="1" applyAlignment="1">
      <alignment horizontal="center" vertical="center"/>
    </xf>
    <xf numFmtId="164" fontId="1" fillId="0" borderId="27" xfId="0" applyNumberFormat="1" applyFont="1" applyBorder="1" applyAlignment="1">
      <alignment horizontal="center" vertical="center"/>
    </xf>
    <xf numFmtId="164" fontId="1" fillId="0" borderId="26" xfId="0" applyNumberFormat="1" applyFont="1" applyBorder="1" applyAlignment="1">
      <alignment horizontal="center" vertical="center"/>
    </xf>
    <xf numFmtId="164" fontId="1" fillId="0" borderId="28" xfId="0" applyNumberFormat="1" applyFont="1" applyBorder="1" applyAlignment="1">
      <alignment horizontal="center" vertical="center"/>
    </xf>
    <xf numFmtId="164" fontId="1" fillId="0" borderId="32" xfId="0" applyNumberFormat="1" applyFont="1" applyBorder="1" applyAlignment="1">
      <alignment horizontal="center" vertical="center"/>
    </xf>
    <xf numFmtId="164" fontId="1" fillId="0" borderId="33" xfId="0" applyNumberFormat="1" applyFont="1" applyBorder="1" applyAlignment="1">
      <alignment horizontal="center" vertical="center"/>
    </xf>
    <xf numFmtId="164" fontId="1" fillId="0" borderId="34" xfId="0" applyNumberFormat="1" applyFont="1" applyBorder="1" applyAlignment="1">
      <alignment horizontal="center" vertical="center"/>
    </xf>
    <xf numFmtId="0" fontId="2" fillId="0" borderId="35" xfId="0" applyFont="1" applyBorder="1" applyAlignment="1">
      <alignment horizontal="center" vertical="center"/>
    </xf>
    <xf numFmtId="0" fontId="5" fillId="0" borderId="0" xfId="0" applyFont="1"/>
    <xf numFmtId="14" fontId="5" fillId="0" borderId="0" xfId="0" applyNumberFormat="1" applyFont="1" applyAlignment="1">
      <alignment horizontal="left"/>
    </xf>
    <xf numFmtId="164" fontId="1" fillId="0" borderId="0" xfId="0" applyNumberFormat="1" applyFont="1" applyAlignment="1">
      <alignment vertical="center"/>
    </xf>
    <xf numFmtId="0" fontId="1" fillId="0" borderId="2" xfId="0" applyFont="1" applyBorder="1" applyAlignment="1">
      <alignment horizontal="center" vertical="center"/>
    </xf>
    <xf numFmtId="0" fontId="9" fillId="0" borderId="0" xfId="0" applyFont="1" applyAlignment="1">
      <alignment vertical="center"/>
    </xf>
    <xf numFmtId="0" fontId="1" fillId="0" borderId="0" xfId="0" applyFont="1" applyAlignment="1">
      <alignment horizontal="right" vertical="center"/>
    </xf>
    <xf numFmtId="0" fontId="2" fillId="0" borderId="0" xfId="0" applyFont="1" applyAlignment="1">
      <alignment horizontal="right" vertical="center"/>
    </xf>
    <xf numFmtId="165" fontId="2" fillId="0" borderId="0" xfId="0" applyNumberFormat="1" applyFont="1" applyAlignment="1">
      <alignment vertical="center"/>
    </xf>
    <xf numFmtId="165" fontId="1" fillId="0" borderId="0" xfId="0" applyNumberFormat="1" applyFont="1"/>
    <xf numFmtId="164" fontId="1" fillId="0" borderId="0" xfId="0" applyNumberFormat="1" applyFont="1"/>
    <xf numFmtId="2" fontId="1" fillId="0" borderId="1" xfId="0" applyNumberFormat="1" applyFont="1" applyBorder="1" applyAlignment="1">
      <alignment horizontal="center" vertical="center"/>
    </xf>
    <xf numFmtId="164" fontId="1" fillId="0" borderId="31" xfId="0" applyNumberFormat="1" applyFont="1" applyBorder="1" applyAlignment="1">
      <alignment horizontal="center" vertical="center" wrapText="1"/>
    </xf>
    <xf numFmtId="0" fontId="10" fillId="0" borderId="1" xfId="0" applyFont="1" applyBorder="1" applyAlignment="1">
      <alignment horizontal="center" vertical="center"/>
    </xf>
    <xf numFmtId="0" fontId="2" fillId="0" borderId="1" xfId="0" applyFont="1" applyBorder="1" applyAlignment="1">
      <alignment horizontal="center" vertical="center"/>
    </xf>
    <xf numFmtId="0" fontId="2" fillId="0" borderId="21" xfId="0" applyFont="1" applyBorder="1" applyAlignment="1">
      <alignment horizontal="center" vertical="center"/>
    </xf>
    <xf numFmtId="0" fontId="2" fillId="0" borderId="24" xfId="0" applyFont="1" applyBorder="1" applyAlignment="1">
      <alignment horizontal="center" vertical="center"/>
    </xf>
    <xf numFmtId="0" fontId="2" fillId="0" borderId="27" xfId="0" applyFont="1" applyBorder="1" applyAlignment="1">
      <alignment horizontal="center" vertical="center"/>
    </xf>
    <xf numFmtId="164" fontId="1" fillId="0" borderId="1" xfId="0" applyNumberFormat="1" applyFont="1" applyBorder="1" applyAlignment="1">
      <alignment vertical="center"/>
    </xf>
    <xf numFmtId="0" fontId="1" fillId="0" borderId="2" xfId="0" applyFont="1" applyBorder="1" applyAlignment="1">
      <alignment vertical="center"/>
    </xf>
    <xf numFmtId="0" fontId="1" fillId="0" borderId="12" xfId="0" applyFont="1" applyBorder="1" applyAlignment="1">
      <alignment vertical="center"/>
    </xf>
    <xf numFmtId="2" fontId="1" fillId="0" borderId="0" xfId="0" applyNumberFormat="1" applyFont="1" applyAlignment="1">
      <alignment vertical="center"/>
    </xf>
    <xf numFmtId="165" fontId="1" fillId="0" borderId="1" xfId="0" applyNumberFormat="1" applyFont="1" applyBorder="1" applyAlignment="1">
      <alignment horizontal="center" vertical="center"/>
    </xf>
    <xf numFmtId="165" fontId="1" fillId="0" borderId="0" xfId="0" applyNumberFormat="1" applyFont="1" applyAlignment="1">
      <alignment vertical="center"/>
    </xf>
    <xf numFmtId="165" fontId="1" fillId="0" borderId="1" xfId="0" applyNumberFormat="1" applyFont="1" applyBorder="1" applyAlignment="1">
      <alignment vertical="center"/>
    </xf>
    <xf numFmtId="167" fontId="0" fillId="0" borderId="0" xfId="0" applyNumberFormat="1"/>
    <xf numFmtId="0" fontId="11" fillId="0" borderId="0" xfId="0" applyFont="1"/>
    <xf numFmtId="0" fontId="2" fillId="0" borderId="36" xfId="0" applyFont="1" applyBorder="1" applyAlignment="1">
      <alignment horizontal="center" vertical="center"/>
    </xf>
    <xf numFmtId="0" fontId="2" fillId="0" borderId="37" xfId="0" applyFont="1" applyBorder="1" applyAlignment="1">
      <alignment horizontal="center" vertical="center"/>
    </xf>
    <xf numFmtId="0" fontId="2" fillId="0" borderId="38" xfId="0" applyFont="1" applyBorder="1" applyAlignment="1">
      <alignment horizontal="center" vertical="center"/>
    </xf>
    <xf numFmtId="164" fontId="0" fillId="0" borderId="1" xfId="0" applyNumberFormat="1" applyBorder="1"/>
    <xf numFmtId="166" fontId="1" fillId="0" borderId="0" xfId="0" applyNumberFormat="1" applyFont="1" applyAlignment="1">
      <alignment vertical="center"/>
    </xf>
    <xf numFmtId="164" fontId="0" fillId="5" borderId="1" xfId="0" applyNumberFormat="1" applyFill="1" applyBorder="1" applyAlignment="1">
      <alignment horizontal="center" vertical="center"/>
    </xf>
    <xf numFmtId="164" fontId="1" fillId="0" borderId="0" xfId="0" applyNumberFormat="1" applyFont="1" applyAlignment="1">
      <alignment horizontal="center" vertical="center"/>
    </xf>
    <xf numFmtId="164" fontId="1" fillId="0" borderId="0" xfId="0" applyNumberFormat="1" applyFont="1" applyAlignment="1">
      <alignment horizontal="center" vertical="center" wrapText="1"/>
    </xf>
    <xf numFmtId="164" fontId="0" fillId="0" borderId="0" xfId="0" applyNumberFormat="1" applyAlignment="1">
      <alignment horizontal="center" vertical="center"/>
    </xf>
    <xf numFmtId="2" fontId="10" fillId="0" borderId="29" xfId="0" applyNumberFormat="1" applyFont="1" applyBorder="1" applyAlignment="1">
      <alignment horizontal="center" vertical="center"/>
    </xf>
    <xf numFmtId="0" fontId="11" fillId="0" borderId="1" xfId="0" applyFont="1" applyBorder="1"/>
    <xf numFmtId="168" fontId="0" fillId="0" borderId="0" xfId="0" applyNumberFormat="1"/>
    <xf numFmtId="0" fontId="2" fillId="0" borderId="39" xfId="0" applyFont="1" applyBorder="1" applyAlignment="1">
      <alignment horizontal="center" vertical="center"/>
    </xf>
    <xf numFmtId="0" fontId="2" fillId="0" borderId="25" xfId="0" applyFont="1" applyBorder="1" applyAlignment="1">
      <alignment horizontal="center" vertical="center"/>
    </xf>
    <xf numFmtId="0" fontId="2" fillId="0" borderId="28" xfId="0" applyFont="1" applyBorder="1" applyAlignment="1">
      <alignment horizontal="center" vertical="center"/>
    </xf>
    <xf numFmtId="165" fontId="0" fillId="5" borderId="1" xfId="0" applyNumberFormat="1" applyFill="1" applyBorder="1" applyAlignment="1">
      <alignment horizontal="center" vertical="center"/>
    </xf>
    <xf numFmtId="0" fontId="11" fillId="3" borderId="0" xfId="0" applyFont="1" applyFill="1"/>
    <xf numFmtId="0" fontId="0" fillId="0" borderId="0" xfId="0" applyAlignment="1">
      <alignment horizontal="center"/>
    </xf>
    <xf numFmtId="0" fontId="11" fillId="0" borderId="2" xfId="0" applyFont="1" applyBorder="1"/>
    <xf numFmtId="0" fontId="2" fillId="0" borderId="40" xfId="0" applyFont="1" applyBorder="1" applyAlignment="1">
      <alignment horizontal="center" vertical="center"/>
    </xf>
    <xf numFmtId="0" fontId="11" fillId="0" borderId="1" xfId="0" applyFont="1" applyBorder="1" applyAlignment="1">
      <alignment horizontal="center"/>
    </xf>
    <xf numFmtId="0" fontId="0" fillId="0" borderId="1" xfId="0" applyBorder="1" applyAlignment="1">
      <alignment horizontal="center"/>
    </xf>
    <xf numFmtId="2" fontId="0" fillId="0" borderId="0" xfId="0" applyNumberFormat="1" applyAlignment="1">
      <alignment horizontal="center"/>
    </xf>
    <xf numFmtId="0" fontId="11" fillId="0" borderId="0" xfId="0" applyFont="1" applyAlignment="1">
      <alignment horizontal="center"/>
    </xf>
    <xf numFmtId="2" fontId="0" fillId="4" borderId="9" xfId="0" applyNumberFormat="1" applyFill="1" applyBorder="1"/>
    <xf numFmtId="2" fontId="0" fillId="4" borderId="10" xfId="0" applyNumberFormat="1" applyFill="1" applyBorder="1"/>
    <xf numFmtId="0" fontId="11" fillId="0" borderId="0" xfId="0" applyFont="1" applyAlignment="1">
      <alignment horizontal="right"/>
    </xf>
    <xf numFmtId="0" fontId="11" fillId="3" borderId="0" xfId="0" applyFont="1" applyFill="1" applyAlignment="1">
      <alignment horizontal="center"/>
    </xf>
    <xf numFmtId="0" fontId="11" fillId="6" borderId="0" xfId="0" applyFont="1" applyFill="1" applyAlignment="1">
      <alignment horizontal="center"/>
    </xf>
    <xf numFmtId="0" fontId="0" fillId="4" borderId="0" xfId="0" applyFill="1"/>
    <xf numFmtId="0" fontId="0" fillId="4" borderId="10" xfId="0" applyFill="1" applyBorder="1"/>
    <xf numFmtId="2" fontId="0" fillId="4" borderId="0" xfId="0" applyNumberFormat="1" applyFill="1"/>
    <xf numFmtId="2" fontId="0" fillId="0" borderId="0" xfId="0" applyNumberFormat="1"/>
    <xf numFmtId="2" fontId="0" fillId="0" borderId="9" xfId="0" applyNumberFormat="1" applyBorder="1"/>
    <xf numFmtId="2" fontId="0" fillId="4" borderId="41" xfId="0" applyNumberFormat="1" applyFill="1" applyBorder="1"/>
    <xf numFmtId="165" fontId="0" fillId="4" borderId="41" xfId="0" applyNumberFormat="1" applyFill="1" applyBorder="1"/>
    <xf numFmtId="0" fontId="1" fillId="5" borderId="15" xfId="0" applyFont="1" applyFill="1" applyBorder="1" applyAlignment="1">
      <alignment horizontal="center" vertical="center"/>
    </xf>
    <xf numFmtId="0" fontId="1" fillId="5" borderId="16" xfId="0" applyFont="1" applyFill="1" applyBorder="1" applyAlignment="1">
      <alignment horizontal="center" vertical="center"/>
    </xf>
    <xf numFmtId="0" fontId="1" fillId="5" borderId="17" xfId="0" applyFont="1" applyFill="1" applyBorder="1" applyAlignment="1">
      <alignment horizontal="center" vertical="center"/>
    </xf>
    <xf numFmtId="0" fontId="15" fillId="0" borderId="0" xfId="0" applyFont="1" applyAlignment="1">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1" xfId="0" applyFont="1" applyBorder="1" applyAlignment="1">
      <alignment horizontal="center" vertical="center"/>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2" fillId="4" borderId="0" xfId="0" applyFont="1" applyFill="1" applyAlignment="1">
      <alignment horizontal="center"/>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2" fillId="3" borderId="9" xfId="0" applyFont="1" applyFill="1" applyBorder="1" applyAlignment="1">
      <alignment horizontal="center" vertical="center" wrapText="1"/>
    </xf>
    <xf numFmtId="0" fontId="2" fillId="3" borderId="0" xfId="0" applyFont="1" applyFill="1" applyAlignment="1">
      <alignment horizontal="center" vertical="center" wrapText="1"/>
    </xf>
    <xf numFmtId="0" fontId="2" fillId="7" borderId="0" xfId="0" applyFont="1" applyFill="1" applyAlignment="1">
      <alignment horizontal="center" vertical="center"/>
    </xf>
    <xf numFmtId="0" fontId="11" fillId="3" borderId="0" xfId="0" applyFont="1" applyFill="1" applyAlignment="1">
      <alignment horizontal="center"/>
    </xf>
    <xf numFmtId="0" fontId="2" fillId="7" borderId="9"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'Pràctica A'!$B$51:$D$51</c:f>
          <c:strCache>
            <c:ptCount val="3"/>
            <c:pt idx="0">
              <c:v>Patrons Co2+ (mg/L)</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v>0,3 mg/mL</c:v>
          </c:tx>
          <c:spPr>
            <a:ln w="25400" cap="rnd">
              <a:noFill/>
              <a:round/>
            </a:ln>
            <a:effectLst/>
          </c:spPr>
          <c:marker>
            <c:symbol val="circle"/>
            <c:size val="5"/>
            <c:spPr>
              <a:solidFill>
                <a:schemeClr val="accent1"/>
              </a:solidFill>
              <a:ln w="9525">
                <a:solidFill>
                  <a:schemeClr val="accent1"/>
                </a:solidFill>
              </a:ln>
              <a:effectLst/>
            </c:spPr>
          </c:marker>
          <c:xVal>
            <c:numRef>
              <c:f>'Pràctica A'!$A$53:$A$67</c:f>
              <c:numCache>
                <c:formatCode>General</c:formatCode>
                <c:ptCount val="15"/>
                <c:pt idx="0">
                  <c:v>550</c:v>
                </c:pt>
                <c:pt idx="1">
                  <c:v>545</c:v>
                </c:pt>
                <c:pt idx="2">
                  <c:v>540</c:v>
                </c:pt>
                <c:pt idx="3">
                  <c:v>535</c:v>
                </c:pt>
                <c:pt idx="4">
                  <c:v>530</c:v>
                </c:pt>
                <c:pt idx="5">
                  <c:v>525</c:v>
                </c:pt>
                <c:pt idx="6">
                  <c:v>520</c:v>
                </c:pt>
                <c:pt idx="7">
                  <c:v>515</c:v>
                </c:pt>
                <c:pt idx="8">
                  <c:v>510</c:v>
                </c:pt>
                <c:pt idx="9">
                  <c:v>505</c:v>
                </c:pt>
                <c:pt idx="10">
                  <c:v>500</c:v>
                </c:pt>
                <c:pt idx="11">
                  <c:v>495</c:v>
                </c:pt>
                <c:pt idx="12">
                  <c:v>490</c:v>
                </c:pt>
                <c:pt idx="13">
                  <c:v>485</c:v>
                </c:pt>
                <c:pt idx="14">
                  <c:v>480</c:v>
                </c:pt>
              </c:numCache>
            </c:numRef>
          </c:xVal>
          <c:yVal>
            <c:numRef>
              <c:f>'Pràctica A'!$B$53:$B$67</c:f>
              <c:numCache>
                <c:formatCode>0.000000</c:formatCode>
                <c:ptCount val="15"/>
                <c:pt idx="0">
                  <c:v>0.112216</c:v>
                </c:pt>
                <c:pt idx="1">
                  <c:v>0.117358</c:v>
                </c:pt>
                <c:pt idx="2">
                  <c:v>0.12113500000000001</c:v>
                </c:pt>
                <c:pt idx="3">
                  <c:v>0.12378</c:v>
                </c:pt>
                <c:pt idx="4">
                  <c:v>0.12576100000000001</c:v>
                </c:pt>
                <c:pt idx="5">
                  <c:v>0.12676799999999999</c:v>
                </c:pt>
                <c:pt idx="6">
                  <c:v>0.12621299999999999</c:v>
                </c:pt>
                <c:pt idx="7">
                  <c:v>0.124223</c:v>
                </c:pt>
                <c:pt idx="8">
                  <c:v>0.120405</c:v>
                </c:pt>
                <c:pt idx="9">
                  <c:v>0.11545999999999999</c:v>
                </c:pt>
                <c:pt idx="10">
                  <c:v>0.109699</c:v>
                </c:pt>
                <c:pt idx="11">
                  <c:v>0.103397</c:v>
                </c:pt>
                <c:pt idx="12">
                  <c:v>9.6567100000000003E-2</c:v>
                </c:pt>
                <c:pt idx="13">
                  <c:v>8.9074E-2</c:v>
                </c:pt>
                <c:pt idx="14">
                  <c:v>8.0953499999999998E-2</c:v>
                </c:pt>
              </c:numCache>
            </c:numRef>
          </c:yVal>
          <c:smooth val="0"/>
          <c:extLst>
            <c:ext xmlns:c16="http://schemas.microsoft.com/office/drawing/2014/chart" uri="{C3380CC4-5D6E-409C-BE32-E72D297353CC}">
              <c16:uniqueId val="{00000000-9553-46FB-8AFA-D0D5935FDBEF}"/>
            </c:ext>
          </c:extLst>
        </c:ser>
        <c:ser>
          <c:idx val="1"/>
          <c:order val="1"/>
          <c:tx>
            <c:v>0,4 mg/mL</c:v>
          </c:tx>
          <c:spPr>
            <a:ln w="25400" cap="rnd">
              <a:noFill/>
              <a:round/>
            </a:ln>
            <a:effectLst/>
          </c:spPr>
          <c:marker>
            <c:symbol val="circle"/>
            <c:size val="5"/>
            <c:spPr>
              <a:solidFill>
                <a:schemeClr val="accent2"/>
              </a:solidFill>
              <a:ln w="9525">
                <a:solidFill>
                  <a:schemeClr val="accent2"/>
                </a:solidFill>
              </a:ln>
              <a:effectLst/>
            </c:spPr>
          </c:marker>
          <c:xVal>
            <c:numRef>
              <c:f>'Pràctica A'!$A$53:$A$67</c:f>
              <c:numCache>
                <c:formatCode>General</c:formatCode>
                <c:ptCount val="15"/>
                <c:pt idx="0">
                  <c:v>550</c:v>
                </c:pt>
                <c:pt idx="1">
                  <c:v>545</c:v>
                </c:pt>
                <c:pt idx="2">
                  <c:v>540</c:v>
                </c:pt>
                <c:pt idx="3">
                  <c:v>535</c:v>
                </c:pt>
                <c:pt idx="4">
                  <c:v>530</c:v>
                </c:pt>
                <c:pt idx="5">
                  <c:v>525</c:v>
                </c:pt>
                <c:pt idx="6">
                  <c:v>520</c:v>
                </c:pt>
                <c:pt idx="7">
                  <c:v>515</c:v>
                </c:pt>
                <c:pt idx="8">
                  <c:v>510</c:v>
                </c:pt>
                <c:pt idx="9">
                  <c:v>505</c:v>
                </c:pt>
                <c:pt idx="10">
                  <c:v>500</c:v>
                </c:pt>
                <c:pt idx="11">
                  <c:v>495</c:v>
                </c:pt>
                <c:pt idx="12">
                  <c:v>490</c:v>
                </c:pt>
                <c:pt idx="13">
                  <c:v>485</c:v>
                </c:pt>
                <c:pt idx="14">
                  <c:v>480</c:v>
                </c:pt>
              </c:numCache>
            </c:numRef>
          </c:xVal>
          <c:yVal>
            <c:numRef>
              <c:f>'Pràctica A'!$C$53:$C$67</c:f>
              <c:numCache>
                <c:formatCode>0.000000</c:formatCode>
                <c:ptCount val="15"/>
                <c:pt idx="0">
                  <c:v>0.149505</c:v>
                </c:pt>
                <c:pt idx="1">
                  <c:v>0.15624099999999999</c:v>
                </c:pt>
                <c:pt idx="2">
                  <c:v>0.16098299999999999</c:v>
                </c:pt>
                <c:pt idx="3">
                  <c:v>0.164272</c:v>
                </c:pt>
                <c:pt idx="4">
                  <c:v>0.166382</c:v>
                </c:pt>
                <c:pt idx="5">
                  <c:v>0.167188</c:v>
                </c:pt>
                <c:pt idx="6">
                  <c:v>0.16588</c:v>
                </c:pt>
                <c:pt idx="7">
                  <c:v>0.16248899999999999</c:v>
                </c:pt>
                <c:pt idx="8">
                  <c:v>0.15687100000000001</c:v>
                </c:pt>
                <c:pt idx="9">
                  <c:v>0.149307</c:v>
                </c:pt>
                <c:pt idx="10">
                  <c:v>0.140821</c:v>
                </c:pt>
                <c:pt idx="11">
                  <c:v>0.131716</c:v>
                </c:pt>
                <c:pt idx="12">
                  <c:v>0.121933</c:v>
                </c:pt>
                <c:pt idx="13">
                  <c:v>0.11087</c:v>
                </c:pt>
                <c:pt idx="14">
                  <c:v>9.9102499999999996E-2</c:v>
                </c:pt>
              </c:numCache>
            </c:numRef>
          </c:yVal>
          <c:smooth val="0"/>
          <c:extLst>
            <c:ext xmlns:c16="http://schemas.microsoft.com/office/drawing/2014/chart" uri="{C3380CC4-5D6E-409C-BE32-E72D297353CC}">
              <c16:uniqueId val="{00000001-9553-46FB-8AFA-D0D5935FDBEF}"/>
            </c:ext>
          </c:extLst>
        </c:ser>
        <c:ser>
          <c:idx val="2"/>
          <c:order val="2"/>
          <c:tx>
            <c:v>0,5 mg/mL</c:v>
          </c:tx>
          <c:spPr>
            <a:ln w="25400" cap="rnd">
              <a:noFill/>
              <a:round/>
            </a:ln>
            <a:effectLst/>
          </c:spPr>
          <c:marker>
            <c:symbol val="circle"/>
            <c:size val="5"/>
            <c:spPr>
              <a:solidFill>
                <a:schemeClr val="accent3"/>
              </a:solidFill>
              <a:ln w="9525">
                <a:solidFill>
                  <a:schemeClr val="accent3"/>
                </a:solidFill>
              </a:ln>
              <a:effectLst/>
            </c:spPr>
          </c:marker>
          <c:xVal>
            <c:numRef>
              <c:f>'Pràctica A'!$A$53:$A$67</c:f>
              <c:numCache>
                <c:formatCode>General</c:formatCode>
                <c:ptCount val="15"/>
                <c:pt idx="0">
                  <c:v>550</c:v>
                </c:pt>
                <c:pt idx="1">
                  <c:v>545</c:v>
                </c:pt>
                <c:pt idx="2">
                  <c:v>540</c:v>
                </c:pt>
                <c:pt idx="3">
                  <c:v>535</c:v>
                </c:pt>
                <c:pt idx="4">
                  <c:v>530</c:v>
                </c:pt>
                <c:pt idx="5">
                  <c:v>525</c:v>
                </c:pt>
                <c:pt idx="6">
                  <c:v>520</c:v>
                </c:pt>
                <c:pt idx="7">
                  <c:v>515</c:v>
                </c:pt>
                <c:pt idx="8">
                  <c:v>510</c:v>
                </c:pt>
                <c:pt idx="9">
                  <c:v>505</c:v>
                </c:pt>
                <c:pt idx="10">
                  <c:v>500</c:v>
                </c:pt>
                <c:pt idx="11">
                  <c:v>495</c:v>
                </c:pt>
                <c:pt idx="12">
                  <c:v>490</c:v>
                </c:pt>
                <c:pt idx="13">
                  <c:v>485</c:v>
                </c:pt>
                <c:pt idx="14">
                  <c:v>480</c:v>
                </c:pt>
              </c:numCache>
            </c:numRef>
          </c:xVal>
          <c:yVal>
            <c:numRef>
              <c:f>'Pràctica A'!$D$53:$D$68</c:f>
              <c:numCache>
                <c:formatCode>0.000000</c:formatCode>
                <c:ptCount val="16"/>
                <c:pt idx="0">
                  <c:v>0.19617200000000001</c:v>
                </c:pt>
                <c:pt idx="1">
                  <c:v>0.20519699999999999</c:v>
                </c:pt>
                <c:pt idx="2">
                  <c:v>0.21157000000000001</c:v>
                </c:pt>
                <c:pt idx="3">
                  <c:v>0.21613499999999999</c:v>
                </c:pt>
                <c:pt idx="4">
                  <c:v>0.21912499999999999</c:v>
                </c:pt>
                <c:pt idx="5">
                  <c:v>0.22017100000000001</c:v>
                </c:pt>
                <c:pt idx="6">
                  <c:v>0.21834500000000001</c:v>
                </c:pt>
                <c:pt idx="7">
                  <c:v>0.21363699999999999</c:v>
                </c:pt>
                <c:pt idx="8">
                  <c:v>0.205932</c:v>
                </c:pt>
                <c:pt idx="9">
                  <c:v>0.19592000000000001</c:v>
                </c:pt>
                <c:pt idx="10">
                  <c:v>0.184337</c:v>
                </c:pt>
                <c:pt idx="11">
                  <c:v>0.17205300000000001</c:v>
                </c:pt>
                <c:pt idx="12">
                  <c:v>0.15812999999999999</c:v>
                </c:pt>
                <c:pt idx="13">
                  <c:v>0.143126</c:v>
                </c:pt>
                <c:pt idx="14">
                  <c:v>0.12662699999999999</c:v>
                </c:pt>
              </c:numCache>
            </c:numRef>
          </c:yVal>
          <c:smooth val="0"/>
          <c:extLst>
            <c:ext xmlns:c16="http://schemas.microsoft.com/office/drawing/2014/chart" uri="{C3380CC4-5D6E-409C-BE32-E72D297353CC}">
              <c16:uniqueId val="{00000002-9553-46FB-8AFA-D0D5935FDBEF}"/>
            </c:ext>
          </c:extLst>
        </c:ser>
        <c:dLbls>
          <c:showLegendKey val="0"/>
          <c:showVal val="0"/>
          <c:showCatName val="0"/>
          <c:showSerName val="0"/>
          <c:showPercent val="0"/>
          <c:showBubbleSize val="0"/>
        </c:dLbls>
        <c:axId val="1873331807"/>
        <c:axId val="1873334207"/>
      </c:scatterChart>
      <c:valAx>
        <c:axId val="1873331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Longitud d'ona (nm)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a-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73334207"/>
        <c:crosses val="autoZero"/>
        <c:crossBetween val="midCat"/>
      </c:valAx>
      <c:valAx>
        <c:axId val="1873334207"/>
        <c:scaling>
          <c:orientation val="minMax"/>
          <c:max val="0.45"/>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Absorbància (u.a.)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a-ES"/>
            </a:p>
          </c:txPr>
        </c:title>
        <c:numFmt formatCode="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733318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Ni/Co 0,4/0,2</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7140147400413289"/>
                  <c:y val="0.2493168919245780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s-ES"/>
                </a:p>
              </c:txPr>
            </c:trendlineLbl>
          </c:trendline>
          <c:xVal>
            <c:numRef>
              <c:f>'Pràctica A'!$B$118:$B$132</c:f>
              <c:numCache>
                <c:formatCode>0.00</c:formatCode>
                <c:ptCount val="15"/>
                <c:pt idx="0">
                  <c:v>1.057560972442495</c:v>
                </c:pt>
                <c:pt idx="1">
                  <c:v>0.99636021489650051</c:v>
                </c:pt>
                <c:pt idx="2">
                  <c:v>0.89323126154716548</c:v>
                </c:pt>
                <c:pt idx="3">
                  <c:v>0.83503666787858366</c:v>
                </c:pt>
                <c:pt idx="4">
                  <c:v>0.80811054047247788</c:v>
                </c:pt>
                <c:pt idx="5">
                  <c:v>0.80330720529654587</c:v>
                </c:pt>
                <c:pt idx="6">
                  <c:v>0.79929669096029021</c:v>
                </c:pt>
                <c:pt idx="7">
                  <c:v>0.78189761951468573</c:v>
                </c:pt>
                <c:pt idx="8">
                  <c:v>0.75094499562194861</c:v>
                </c:pt>
                <c:pt idx="9">
                  <c:v>0.71647419902875042</c:v>
                </c:pt>
                <c:pt idx="10">
                  <c:v>0.68759118574618894</c:v>
                </c:pt>
                <c:pt idx="11">
                  <c:v>0.66959073109868805</c:v>
                </c:pt>
                <c:pt idx="12">
                  <c:v>0.66132350096400949</c:v>
                </c:pt>
                <c:pt idx="13">
                  <c:v>0.65673823596354297</c:v>
                </c:pt>
                <c:pt idx="14">
                  <c:v>0.64866202710025878</c:v>
                </c:pt>
              </c:numCache>
            </c:numRef>
          </c:xVal>
          <c:yVal>
            <c:numRef>
              <c:f>'Pràctica A'!$C$118:$C$132</c:f>
              <c:numCache>
                <c:formatCode>0.000000</c:formatCode>
                <c:ptCount val="15"/>
                <c:pt idx="0">
                  <c:v>0.61531402606955199</c:v>
                </c:pt>
                <c:pt idx="1">
                  <c:v>0.61608380796376228</c:v>
                </c:pt>
                <c:pt idx="2">
                  <c:v>0.5890230527348157</c:v>
                </c:pt>
                <c:pt idx="3">
                  <c:v>0.57923099433354919</c:v>
                </c:pt>
                <c:pt idx="4">
                  <c:v>0.5753628165605098</c:v>
                </c:pt>
                <c:pt idx="5">
                  <c:v>0.57585196597885013</c:v>
                </c:pt>
                <c:pt idx="6">
                  <c:v>0.5768451521052409</c:v>
                </c:pt>
                <c:pt idx="7">
                  <c:v>0.57500042304604426</c:v>
                </c:pt>
                <c:pt idx="8">
                  <c:v>0.5702718005207561</c:v>
                </c:pt>
                <c:pt idx="9">
                  <c:v>0.56513514616453908</c:v>
                </c:pt>
                <c:pt idx="10">
                  <c:v>0.56083130282259541</c:v>
                </c:pt>
                <c:pt idx="11">
                  <c:v>0.55958183218521496</c:v>
                </c:pt>
                <c:pt idx="12">
                  <c:v>0.56017995620317662</c:v>
                </c:pt>
                <c:pt idx="13">
                  <c:v>0.56180432845753892</c:v>
                </c:pt>
                <c:pt idx="14">
                  <c:v>0.56288687207093591</c:v>
                </c:pt>
              </c:numCache>
            </c:numRef>
          </c:yVal>
          <c:smooth val="0"/>
          <c:extLst>
            <c:ext xmlns:c16="http://schemas.microsoft.com/office/drawing/2014/chart" uri="{C3380CC4-5D6E-409C-BE32-E72D297353CC}">
              <c16:uniqueId val="{00000000-27A4-FE40-852C-ED54EF2B023B}"/>
            </c:ext>
          </c:extLst>
        </c:ser>
        <c:ser>
          <c:idx val="1"/>
          <c:order val="1"/>
          <c:tx>
            <c:v>Ni/Co 0,4/0,4</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0.29380346748756353"/>
                  <c:y val="5.604704745943094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s-ES"/>
                </a:p>
              </c:txPr>
            </c:trendlineLbl>
          </c:trendline>
          <c:xVal>
            <c:numRef>
              <c:f>'Pràctica A'!$B$157:$B$171</c:f>
              <c:numCache>
                <c:formatCode>0.00</c:formatCode>
                <c:ptCount val="15"/>
                <c:pt idx="0">
                  <c:v>1.057560972442495</c:v>
                </c:pt>
                <c:pt idx="1">
                  <c:v>0.99636021489650051</c:v>
                </c:pt>
                <c:pt idx="2">
                  <c:v>0.89323126154716548</c:v>
                </c:pt>
                <c:pt idx="3">
                  <c:v>0.83503666787858366</c:v>
                </c:pt>
                <c:pt idx="4">
                  <c:v>0.80811054047247788</c:v>
                </c:pt>
                <c:pt idx="5">
                  <c:v>0.80330720529654587</c:v>
                </c:pt>
                <c:pt idx="6">
                  <c:v>0.79929669096029021</c:v>
                </c:pt>
                <c:pt idx="7">
                  <c:v>0.78189761951468573</c:v>
                </c:pt>
                <c:pt idx="8">
                  <c:v>0.75094499562194861</c:v>
                </c:pt>
                <c:pt idx="9">
                  <c:v>0.71647419902875042</c:v>
                </c:pt>
                <c:pt idx="10">
                  <c:v>0.68759118574618894</c:v>
                </c:pt>
                <c:pt idx="11">
                  <c:v>0.66959073109868805</c:v>
                </c:pt>
                <c:pt idx="12">
                  <c:v>0.66132350096400949</c:v>
                </c:pt>
                <c:pt idx="13">
                  <c:v>0.65673823596354297</c:v>
                </c:pt>
                <c:pt idx="14">
                  <c:v>0.64866202710025878</c:v>
                </c:pt>
              </c:numCache>
            </c:numRef>
          </c:xVal>
          <c:yVal>
            <c:numRef>
              <c:f>'Pràctica A'!$C$157:$C$171</c:f>
              <c:numCache>
                <c:formatCode>0.000000</c:formatCode>
                <c:ptCount val="15"/>
                <c:pt idx="0">
                  <c:v>0.82695796428882262</c:v>
                </c:pt>
                <c:pt idx="1">
                  <c:v>0.81761404711063934</c:v>
                </c:pt>
                <c:pt idx="2">
                  <c:v>0.77137759735160372</c:v>
                </c:pt>
                <c:pt idx="3">
                  <c:v>0.75111400296180697</c:v>
                </c:pt>
                <c:pt idx="4">
                  <c:v>0.74270990254697433</c:v>
                </c:pt>
                <c:pt idx="5">
                  <c:v>0.74265552697347859</c:v>
                </c:pt>
                <c:pt idx="6">
                  <c:v>0.74358154578237123</c:v>
                </c:pt>
                <c:pt idx="7">
                  <c:v>0.73814765999131349</c:v>
                </c:pt>
                <c:pt idx="8">
                  <c:v>0.72745552718996809</c:v>
                </c:pt>
                <c:pt idx="9">
                  <c:v>0.71490466992797808</c:v>
                </c:pt>
                <c:pt idx="10">
                  <c:v>0.70437806561059357</c:v>
                </c:pt>
                <c:pt idx="11">
                  <c:v>0.69851932515586246</c:v>
                </c:pt>
                <c:pt idx="12">
                  <c:v>0.69583930177554221</c:v>
                </c:pt>
                <c:pt idx="13">
                  <c:v>0.69361680310010487</c:v>
                </c:pt>
                <c:pt idx="14">
                  <c:v>0.68858937060394954</c:v>
                </c:pt>
              </c:numCache>
            </c:numRef>
          </c:yVal>
          <c:smooth val="0"/>
          <c:extLst>
            <c:ext xmlns:c16="http://schemas.microsoft.com/office/drawing/2014/chart" uri="{C3380CC4-5D6E-409C-BE32-E72D297353CC}">
              <c16:uniqueId val="{00000000-E413-D743-877C-ACC436BCA0E2}"/>
            </c:ext>
          </c:extLst>
        </c:ser>
        <c:ser>
          <c:idx val="2"/>
          <c:order val="2"/>
          <c:tx>
            <c:v>Ni/Co 0,2/0,4</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1"/>
            <c:dispEq val="1"/>
            <c:trendlineLbl>
              <c:layout>
                <c:manualLayout>
                  <c:x val="-0.27326830679441877"/>
                  <c:y val="-8.201627287495259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s-ES"/>
                </a:p>
              </c:txPr>
            </c:trendlineLbl>
          </c:trendline>
          <c:xVal>
            <c:numRef>
              <c:f>'Pràctica A'!$B$196:$B$210</c:f>
              <c:numCache>
                <c:formatCode>General</c:formatCode>
                <c:ptCount val="15"/>
                <c:pt idx="0">
                  <c:v>1.057560972442495</c:v>
                </c:pt>
                <c:pt idx="1">
                  <c:v>0.99636021489650051</c:v>
                </c:pt>
                <c:pt idx="2">
                  <c:v>0.89323126154716548</c:v>
                </c:pt>
                <c:pt idx="3">
                  <c:v>0.83503666787858366</c:v>
                </c:pt>
                <c:pt idx="4">
                  <c:v>0.80811054047247788</c:v>
                </c:pt>
                <c:pt idx="5">
                  <c:v>0.80330720529654587</c:v>
                </c:pt>
                <c:pt idx="6">
                  <c:v>0.79929669096029021</c:v>
                </c:pt>
                <c:pt idx="7">
                  <c:v>0.78189761951468573</c:v>
                </c:pt>
                <c:pt idx="8">
                  <c:v>0.75094499562194861</c:v>
                </c:pt>
                <c:pt idx="9">
                  <c:v>0.71647419902875042</c:v>
                </c:pt>
                <c:pt idx="10">
                  <c:v>0.68759118574618894</c:v>
                </c:pt>
                <c:pt idx="11">
                  <c:v>0.66959073109868805</c:v>
                </c:pt>
                <c:pt idx="12">
                  <c:v>0.66132350096400949</c:v>
                </c:pt>
                <c:pt idx="13">
                  <c:v>0.65673823596354297</c:v>
                </c:pt>
                <c:pt idx="14">
                  <c:v>0.64866202710025878</c:v>
                </c:pt>
              </c:numCache>
            </c:numRef>
          </c:xVal>
          <c:yVal>
            <c:numRef>
              <c:f>'Pràctica A'!$C$196:$C$210</c:f>
              <c:numCache>
                <c:formatCode>General</c:formatCode>
                <c:ptCount val="15"/>
                <c:pt idx="0">
                  <c:v>0.62541788285876787</c:v>
                </c:pt>
                <c:pt idx="1">
                  <c:v>0.60676447605397199</c:v>
                </c:pt>
                <c:pt idx="2">
                  <c:v>0.56144318119481773</c:v>
                </c:pt>
                <c:pt idx="3">
                  <c:v>0.53887748406033587</c:v>
                </c:pt>
                <c:pt idx="4">
                  <c:v>0.52859183714697089</c:v>
                </c:pt>
                <c:pt idx="5">
                  <c:v>0.52713131298349847</c:v>
                </c:pt>
                <c:pt idx="6">
                  <c:v>0.52621067121716136</c:v>
                </c:pt>
                <c:pt idx="7">
                  <c:v>0.51916210560357379</c:v>
                </c:pt>
                <c:pt idx="8">
                  <c:v>0.50670828783354416</c:v>
                </c:pt>
                <c:pt idx="9">
                  <c:v>0.49266620264401517</c:v>
                </c:pt>
                <c:pt idx="10">
                  <c:v>0.48095883918534271</c:v>
                </c:pt>
                <c:pt idx="11">
                  <c:v>0.47411477296370208</c:v>
                </c:pt>
                <c:pt idx="12">
                  <c:v>0.47042837781685637</c:v>
                </c:pt>
                <c:pt idx="13">
                  <c:v>0.4690828550858186</c:v>
                </c:pt>
                <c:pt idx="14">
                  <c:v>0.46525121650474649</c:v>
                </c:pt>
              </c:numCache>
            </c:numRef>
          </c:yVal>
          <c:smooth val="0"/>
          <c:extLst>
            <c:ext xmlns:c16="http://schemas.microsoft.com/office/drawing/2014/chart" uri="{C3380CC4-5D6E-409C-BE32-E72D297353CC}">
              <c16:uniqueId val="{00000001-E413-D743-877C-ACC436BCA0E2}"/>
            </c:ext>
          </c:extLst>
        </c:ser>
        <c:dLbls>
          <c:showLegendKey val="0"/>
          <c:showVal val="0"/>
          <c:showCatName val="0"/>
          <c:showSerName val="0"/>
          <c:showPercent val="0"/>
          <c:showBubbleSize val="0"/>
        </c:dLbls>
        <c:axId val="553189471"/>
        <c:axId val="876489007"/>
      </c:scatterChart>
      <c:valAx>
        <c:axId val="553189471"/>
        <c:scaling>
          <c:orientation val="minMax"/>
          <c:min val="0.6"/>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k</a:t>
                </a:r>
                <a:r>
                  <a:rPr lang="en-US" sz="1000" b="0" i="0" u="none" strike="noStrike" kern="1200" baseline="-25000">
                    <a:solidFill>
                      <a:sysClr val="windowText" lastClr="000000">
                        <a:lumMod val="65000"/>
                        <a:lumOff val="35000"/>
                      </a:sysClr>
                    </a:solidFill>
                  </a:rPr>
                  <a:t>2</a:t>
                </a:r>
                <a:r>
                  <a:rPr lang="en-US" sz="1000" b="0" i="0" u="none" strike="noStrike" kern="1200" baseline="0">
                    <a:solidFill>
                      <a:sysClr val="windowText" lastClr="000000">
                        <a:lumMod val="65000"/>
                        <a:lumOff val="35000"/>
                      </a:sysClr>
                    </a:solidFill>
                  </a:rPr>
                  <a:t> / k</a:t>
                </a:r>
                <a:r>
                  <a:rPr lang="en-US" sz="1000" b="0" i="0" u="none" strike="noStrike" kern="1200" baseline="-25000">
                    <a:solidFill>
                      <a:sysClr val="windowText" lastClr="000000">
                        <a:lumMod val="65000"/>
                        <a:lumOff val="35000"/>
                      </a:sysClr>
                    </a:solidFill>
                  </a:rPr>
                  <a:t>1</a:t>
                </a:r>
                <a:endParaRPr lang="en-US" sz="1000" b="0" i="0" u="none" strike="noStrike" kern="120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76489007"/>
        <c:crosses val="autoZero"/>
        <c:crossBetween val="midCat"/>
      </c:valAx>
      <c:valAx>
        <c:axId val="876489007"/>
        <c:scaling>
          <c:orientation val="minMax"/>
          <c:min val="0.4"/>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A</a:t>
                </a:r>
                <a:r>
                  <a:rPr lang="en-US" sz="1000" b="0" i="0" u="none" strike="noStrike" kern="1200" baseline="-25000">
                    <a:solidFill>
                      <a:sysClr val="windowText" lastClr="000000">
                        <a:lumMod val="65000"/>
                        <a:lumOff val="35000"/>
                      </a:sysClr>
                    </a:solidFill>
                  </a:rPr>
                  <a:t>m</a:t>
                </a:r>
                <a:r>
                  <a:rPr lang="en-US" sz="1000" b="0" i="0" u="none" strike="noStrike" kern="1200" baseline="0">
                    <a:solidFill>
                      <a:sysClr val="windowText" lastClr="000000">
                        <a:lumMod val="65000"/>
                        <a:lumOff val="35000"/>
                      </a:sysClr>
                    </a:solidFill>
                  </a:rPr>
                  <a:t> / k</a:t>
                </a:r>
                <a:r>
                  <a:rPr lang="en-US" sz="1000" b="0" i="0" u="none" strike="noStrike" kern="1200" baseline="-25000">
                    <a:solidFill>
                      <a:sysClr val="windowText" lastClr="000000">
                        <a:lumMod val="65000"/>
                        <a:lumOff val="35000"/>
                      </a:sysClr>
                    </a:solidFill>
                  </a:rPr>
                  <a:t>1</a:t>
                </a:r>
                <a:r>
                  <a:rPr lang="en-US" sz="1000" b="0" i="0" u="none" strike="noStrike" kern="1200" baseline="0">
                    <a:solidFill>
                      <a:sysClr val="windowText" lastClr="000000">
                        <a:lumMod val="65000"/>
                        <a:lumOff val="35000"/>
                      </a:sysClr>
                    </a:solidFill>
                  </a:rPr>
                  <a:t> (</a:t>
                </a:r>
                <a:r>
                  <a:rPr lang="ca-ES" sz="1000" b="0" i="0" u="none" strike="noStrike" kern="1200" baseline="0">
                    <a:solidFill>
                      <a:sysClr val="windowText" lastClr="000000">
                        <a:lumMod val="65000"/>
                        <a:lumOff val="35000"/>
                      </a:sysClr>
                    </a:solidFill>
                    <a:effectLst/>
                  </a:rPr>
                  <a:t>mg/mL</a:t>
                </a:r>
                <a:r>
                  <a:rPr lang="en-US" sz="1000" b="0" i="0" u="none" strike="noStrike" kern="1200" baseline="0">
                    <a:solidFill>
                      <a:sysClr val="windowText" lastClr="000000">
                        <a:lumMod val="65000"/>
                        <a:lumOff val="35000"/>
                      </a:sysClr>
                    </a:solidFill>
                  </a:rPr>
                  <a:t>)</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ca-ES"/>
            </a:p>
          </c:txPr>
        </c:title>
        <c:numFmt formatCode="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531894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'Pràctica A'!$E$51:$G$51</c:f>
          <c:strCache>
            <c:ptCount val="3"/>
            <c:pt idx="0">
              <c:v>Patrons Ni2+ (mg/L)</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v>0,3 mg/mL</c:v>
          </c:tx>
          <c:spPr>
            <a:ln w="25400" cap="rnd">
              <a:noFill/>
              <a:round/>
            </a:ln>
            <a:effectLst/>
          </c:spPr>
          <c:marker>
            <c:symbol val="circle"/>
            <c:size val="5"/>
            <c:spPr>
              <a:solidFill>
                <a:schemeClr val="accent1"/>
              </a:solidFill>
              <a:ln w="9525">
                <a:solidFill>
                  <a:schemeClr val="accent1"/>
                </a:solidFill>
              </a:ln>
              <a:effectLst/>
            </c:spPr>
          </c:marker>
          <c:xVal>
            <c:numRef>
              <c:f>'Pràctica A'!$A$53:$A$67</c:f>
              <c:numCache>
                <c:formatCode>General</c:formatCode>
                <c:ptCount val="15"/>
                <c:pt idx="0">
                  <c:v>550</c:v>
                </c:pt>
                <c:pt idx="1">
                  <c:v>545</c:v>
                </c:pt>
                <c:pt idx="2">
                  <c:v>540</c:v>
                </c:pt>
                <c:pt idx="3">
                  <c:v>535</c:v>
                </c:pt>
                <c:pt idx="4">
                  <c:v>530</c:v>
                </c:pt>
                <c:pt idx="5">
                  <c:v>525</c:v>
                </c:pt>
                <c:pt idx="6">
                  <c:v>520</c:v>
                </c:pt>
                <c:pt idx="7">
                  <c:v>515</c:v>
                </c:pt>
                <c:pt idx="8">
                  <c:v>510</c:v>
                </c:pt>
                <c:pt idx="9">
                  <c:v>505</c:v>
                </c:pt>
                <c:pt idx="10">
                  <c:v>500</c:v>
                </c:pt>
                <c:pt idx="11">
                  <c:v>495</c:v>
                </c:pt>
                <c:pt idx="12">
                  <c:v>490</c:v>
                </c:pt>
                <c:pt idx="13">
                  <c:v>485</c:v>
                </c:pt>
                <c:pt idx="14">
                  <c:v>480</c:v>
                </c:pt>
              </c:numCache>
            </c:numRef>
          </c:xVal>
          <c:yVal>
            <c:numRef>
              <c:f>'Pràctica A'!$E$53:$E$67</c:f>
              <c:numCache>
                <c:formatCode>0.000000</c:formatCode>
                <c:ptCount val="15"/>
                <c:pt idx="0">
                  <c:v>0.107048</c:v>
                </c:pt>
                <c:pt idx="1">
                  <c:v>0.119768</c:v>
                </c:pt>
                <c:pt idx="2">
                  <c:v>0.133105</c:v>
                </c:pt>
                <c:pt idx="3">
                  <c:v>0.14415500000000001</c:v>
                </c:pt>
                <c:pt idx="4">
                  <c:v>0.15001</c:v>
                </c:pt>
                <c:pt idx="5">
                  <c:v>0.15082599999999999</c:v>
                </c:pt>
                <c:pt idx="6">
                  <c:v>0.14934500000000001</c:v>
                </c:pt>
                <c:pt idx="7">
                  <c:v>0.14833199999999999</c:v>
                </c:pt>
                <c:pt idx="8">
                  <c:v>0.14774000000000001</c:v>
                </c:pt>
                <c:pt idx="9">
                  <c:v>0.14623700000000001</c:v>
                </c:pt>
                <c:pt idx="10">
                  <c:v>0.14232400000000001</c:v>
                </c:pt>
                <c:pt idx="11">
                  <c:v>0.13561899999999999</c:v>
                </c:pt>
                <c:pt idx="12">
                  <c:v>0.12574199999999999</c:v>
                </c:pt>
                <c:pt idx="13">
                  <c:v>0.113828</c:v>
                </c:pt>
                <c:pt idx="14">
                  <c:v>0.101215</c:v>
                </c:pt>
              </c:numCache>
            </c:numRef>
          </c:yVal>
          <c:smooth val="0"/>
          <c:extLst>
            <c:ext xmlns:c16="http://schemas.microsoft.com/office/drawing/2014/chart" uri="{C3380CC4-5D6E-409C-BE32-E72D297353CC}">
              <c16:uniqueId val="{00000000-5D12-4263-B3D9-54A464AE3FEF}"/>
            </c:ext>
          </c:extLst>
        </c:ser>
        <c:ser>
          <c:idx val="1"/>
          <c:order val="1"/>
          <c:tx>
            <c:v>0,4 mg/mL</c:v>
          </c:tx>
          <c:spPr>
            <a:ln w="25400" cap="rnd">
              <a:noFill/>
              <a:round/>
            </a:ln>
            <a:effectLst/>
          </c:spPr>
          <c:marker>
            <c:symbol val="circle"/>
            <c:size val="5"/>
            <c:spPr>
              <a:solidFill>
                <a:schemeClr val="accent2"/>
              </a:solidFill>
              <a:ln w="9525">
                <a:solidFill>
                  <a:schemeClr val="accent2"/>
                </a:solidFill>
              </a:ln>
              <a:effectLst/>
            </c:spPr>
          </c:marker>
          <c:xVal>
            <c:numRef>
              <c:f>'Pràctica A'!$A$53:$A$67</c:f>
              <c:numCache>
                <c:formatCode>General</c:formatCode>
                <c:ptCount val="15"/>
                <c:pt idx="0">
                  <c:v>550</c:v>
                </c:pt>
                <c:pt idx="1">
                  <c:v>545</c:v>
                </c:pt>
                <c:pt idx="2">
                  <c:v>540</c:v>
                </c:pt>
                <c:pt idx="3">
                  <c:v>535</c:v>
                </c:pt>
                <c:pt idx="4">
                  <c:v>530</c:v>
                </c:pt>
                <c:pt idx="5">
                  <c:v>525</c:v>
                </c:pt>
                <c:pt idx="6">
                  <c:v>520</c:v>
                </c:pt>
                <c:pt idx="7">
                  <c:v>515</c:v>
                </c:pt>
                <c:pt idx="8">
                  <c:v>510</c:v>
                </c:pt>
                <c:pt idx="9">
                  <c:v>505</c:v>
                </c:pt>
                <c:pt idx="10">
                  <c:v>500</c:v>
                </c:pt>
                <c:pt idx="11">
                  <c:v>495</c:v>
                </c:pt>
                <c:pt idx="12">
                  <c:v>490</c:v>
                </c:pt>
                <c:pt idx="13">
                  <c:v>485</c:v>
                </c:pt>
                <c:pt idx="14">
                  <c:v>480</c:v>
                </c:pt>
              </c:numCache>
            </c:numRef>
          </c:xVal>
          <c:yVal>
            <c:numRef>
              <c:f>'Pràctica A'!$F$53:$F$67</c:f>
              <c:numCache>
                <c:formatCode>0.000000</c:formatCode>
                <c:ptCount val="15"/>
                <c:pt idx="0">
                  <c:v>0.13974900000000001</c:v>
                </c:pt>
                <c:pt idx="1">
                  <c:v>0.159388</c:v>
                </c:pt>
                <c:pt idx="2">
                  <c:v>0.17990900000000001</c:v>
                </c:pt>
                <c:pt idx="3">
                  <c:v>0.197072</c:v>
                </c:pt>
                <c:pt idx="4">
                  <c:v>0.20691499999999999</c:v>
                </c:pt>
                <c:pt idx="5">
                  <c:v>0.20959</c:v>
                </c:pt>
                <c:pt idx="6">
                  <c:v>0.209483</c:v>
                </c:pt>
                <c:pt idx="7">
                  <c:v>0.21040200000000001</c:v>
                </c:pt>
                <c:pt idx="8">
                  <c:v>0.21208299999999999</c:v>
                </c:pt>
                <c:pt idx="9">
                  <c:v>0.21247099999999999</c:v>
                </c:pt>
                <c:pt idx="10">
                  <c:v>0.209733</c:v>
                </c:pt>
                <c:pt idx="11">
                  <c:v>0.201878</c:v>
                </c:pt>
                <c:pt idx="12">
                  <c:v>0.18950900000000001</c:v>
                </c:pt>
                <c:pt idx="13">
                  <c:v>0.174151</c:v>
                </c:pt>
                <c:pt idx="14">
                  <c:v>0.15828400000000001</c:v>
                </c:pt>
              </c:numCache>
            </c:numRef>
          </c:yVal>
          <c:smooth val="0"/>
          <c:extLst>
            <c:ext xmlns:c16="http://schemas.microsoft.com/office/drawing/2014/chart" uri="{C3380CC4-5D6E-409C-BE32-E72D297353CC}">
              <c16:uniqueId val="{00000001-5D12-4263-B3D9-54A464AE3FEF}"/>
            </c:ext>
          </c:extLst>
        </c:ser>
        <c:ser>
          <c:idx val="2"/>
          <c:order val="2"/>
          <c:tx>
            <c:v>0,5 mg/mL</c:v>
          </c:tx>
          <c:spPr>
            <a:ln w="25400" cap="rnd">
              <a:noFill/>
              <a:round/>
            </a:ln>
            <a:effectLst/>
          </c:spPr>
          <c:marker>
            <c:symbol val="circle"/>
            <c:size val="5"/>
            <c:spPr>
              <a:solidFill>
                <a:schemeClr val="accent3"/>
              </a:solidFill>
              <a:ln w="9525">
                <a:solidFill>
                  <a:schemeClr val="accent3"/>
                </a:solidFill>
              </a:ln>
              <a:effectLst/>
            </c:spPr>
          </c:marker>
          <c:xVal>
            <c:numRef>
              <c:f>'Pràctica A'!$A$53:$A$67</c:f>
              <c:numCache>
                <c:formatCode>General</c:formatCode>
                <c:ptCount val="15"/>
                <c:pt idx="0">
                  <c:v>550</c:v>
                </c:pt>
                <c:pt idx="1">
                  <c:v>545</c:v>
                </c:pt>
                <c:pt idx="2">
                  <c:v>540</c:v>
                </c:pt>
                <c:pt idx="3">
                  <c:v>535</c:v>
                </c:pt>
                <c:pt idx="4">
                  <c:v>530</c:v>
                </c:pt>
                <c:pt idx="5">
                  <c:v>525</c:v>
                </c:pt>
                <c:pt idx="6">
                  <c:v>520</c:v>
                </c:pt>
                <c:pt idx="7">
                  <c:v>515</c:v>
                </c:pt>
                <c:pt idx="8">
                  <c:v>510</c:v>
                </c:pt>
                <c:pt idx="9">
                  <c:v>505</c:v>
                </c:pt>
                <c:pt idx="10">
                  <c:v>500</c:v>
                </c:pt>
                <c:pt idx="11">
                  <c:v>495</c:v>
                </c:pt>
                <c:pt idx="12">
                  <c:v>490</c:v>
                </c:pt>
                <c:pt idx="13">
                  <c:v>485</c:v>
                </c:pt>
                <c:pt idx="14">
                  <c:v>480</c:v>
                </c:pt>
              </c:numCache>
            </c:numRef>
          </c:xVal>
          <c:yVal>
            <c:numRef>
              <c:f>'Pràctica A'!$G$53:$G$67</c:f>
              <c:numCache>
                <c:formatCode>0.000000</c:formatCode>
                <c:ptCount val="15"/>
                <c:pt idx="0">
                  <c:v>0.18595200000000001</c:v>
                </c:pt>
                <c:pt idx="1">
                  <c:v>0.213056</c:v>
                </c:pt>
                <c:pt idx="2">
                  <c:v>0.24143700000000001</c:v>
                </c:pt>
                <c:pt idx="3">
                  <c:v>0.26519500000000001</c:v>
                </c:pt>
                <c:pt idx="4">
                  <c:v>0.27923199999999998</c:v>
                </c:pt>
                <c:pt idx="5">
                  <c:v>0.283885</c:v>
                </c:pt>
                <c:pt idx="6">
                  <c:v>0.28499999999999998</c:v>
                </c:pt>
                <c:pt idx="7">
                  <c:v>0.28756300000000001</c:v>
                </c:pt>
                <c:pt idx="8">
                  <c:v>0.291246</c:v>
                </c:pt>
                <c:pt idx="9">
                  <c:v>0.29320600000000002</c:v>
                </c:pt>
                <c:pt idx="10">
                  <c:v>0.29062399999999999</c:v>
                </c:pt>
                <c:pt idx="11">
                  <c:v>0.28182600000000002</c:v>
                </c:pt>
                <c:pt idx="12">
                  <c:v>0.26649499999999998</c:v>
                </c:pt>
                <c:pt idx="13">
                  <c:v>0.24760799999999999</c:v>
                </c:pt>
                <c:pt idx="14">
                  <c:v>0.22764200000000001</c:v>
                </c:pt>
              </c:numCache>
            </c:numRef>
          </c:yVal>
          <c:smooth val="0"/>
          <c:extLst>
            <c:ext xmlns:c16="http://schemas.microsoft.com/office/drawing/2014/chart" uri="{C3380CC4-5D6E-409C-BE32-E72D297353CC}">
              <c16:uniqueId val="{00000002-5D12-4263-B3D9-54A464AE3FEF}"/>
            </c:ext>
          </c:extLst>
        </c:ser>
        <c:dLbls>
          <c:showLegendKey val="0"/>
          <c:showVal val="0"/>
          <c:showCatName val="0"/>
          <c:showSerName val="0"/>
          <c:showPercent val="0"/>
          <c:showBubbleSize val="0"/>
        </c:dLbls>
        <c:axId val="1873331807"/>
        <c:axId val="1873334207"/>
      </c:scatterChart>
      <c:valAx>
        <c:axId val="1873331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Longitud d'ona (nm)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a-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73334207"/>
        <c:crosses val="autoZero"/>
        <c:crossBetween val="midCat"/>
      </c:valAx>
      <c:valAx>
        <c:axId val="1873334207"/>
        <c:scaling>
          <c:orientation val="minMax"/>
          <c:max val="0.45"/>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Absorbància (u.a.)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a-ES"/>
            </a:p>
          </c:txPr>
        </c:title>
        <c:numFmt formatCode="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733318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2"/>
          <c:order val="0"/>
          <c:tx>
            <c:v>Ni/Co 0,2/0,4</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1"/>
            <c:dispEq val="1"/>
            <c:trendlineLbl>
              <c:layout>
                <c:manualLayout>
                  <c:x val="-0.16493924545538757"/>
                  <c:y val="0.2300143286335943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s-ES"/>
                </a:p>
              </c:txPr>
            </c:trendlineLbl>
          </c:trendline>
          <c:xVal>
            <c:numRef>
              <c:f>'Pràctica A'!$B$196:$B$210</c:f>
              <c:numCache>
                <c:formatCode>General</c:formatCode>
                <c:ptCount val="15"/>
                <c:pt idx="0">
                  <c:v>1.057560972442495</c:v>
                </c:pt>
                <c:pt idx="1">
                  <c:v>0.99636021489650051</c:v>
                </c:pt>
                <c:pt idx="2">
                  <c:v>0.89323126154716548</c:v>
                </c:pt>
                <c:pt idx="3">
                  <c:v>0.83503666787858366</c:v>
                </c:pt>
                <c:pt idx="4">
                  <c:v>0.80811054047247788</c:v>
                </c:pt>
                <c:pt idx="5">
                  <c:v>0.80330720529654587</c:v>
                </c:pt>
                <c:pt idx="6">
                  <c:v>0.79929669096029021</c:v>
                </c:pt>
                <c:pt idx="7">
                  <c:v>0.78189761951468573</c:v>
                </c:pt>
                <c:pt idx="8">
                  <c:v>0.75094499562194861</c:v>
                </c:pt>
                <c:pt idx="9">
                  <c:v>0.71647419902875042</c:v>
                </c:pt>
                <c:pt idx="10">
                  <c:v>0.68759118574618894</c:v>
                </c:pt>
                <c:pt idx="11">
                  <c:v>0.66959073109868805</c:v>
                </c:pt>
                <c:pt idx="12">
                  <c:v>0.66132350096400949</c:v>
                </c:pt>
                <c:pt idx="13">
                  <c:v>0.65673823596354297</c:v>
                </c:pt>
                <c:pt idx="14">
                  <c:v>0.64866202710025878</c:v>
                </c:pt>
              </c:numCache>
            </c:numRef>
          </c:xVal>
          <c:yVal>
            <c:numRef>
              <c:f>'Pràctica A'!$C$196:$C$210</c:f>
              <c:numCache>
                <c:formatCode>General</c:formatCode>
                <c:ptCount val="15"/>
                <c:pt idx="0">
                  <c:v>0.62541788285876787</c:v>
                </c:pt>
                <c:pt idx="1">
                  <c:v>0.60676447605397199</c:v>
                </c:pt>
                <c:pt idx="2">
                  <c:v>0.56144318119481773</c:v>
                </c:pt>
                <c:pt idx="3">
                  <c:v>0.53887748406033587</c:v>
                </c:pt>
                <c:pt idx="4">
                  <c:v>0.52859183714697089</c:v>
                </c:pt>
                <c:pt idx="5">
                  <c:v>0.52713131298349847</c:v>
                </c:pt>
                <c:pt idx="6">
                  <c:v>0.52621067121716136</c:v>
                </c:pt>
                <c:pt idx="7">
                  <c:v>0.51916210560357379</c:v>
                </c:pt>
                <c:pt idx="8">
                  <c:v>0.50670828783354416</c:v>
                </c:pt>
                <c:pt idx="9">
                  <c:v>0.49266620264401517</c:v>
                </c:pt>
                <c:pt idx="10">
                  <c:v>0.48095883918534271</c:v>
                </c:pt>
                <c:pt idx="11">
                  <c:v>0.47411477296370208</c:v>
                </c:pt>
                <c:pt idx="12">
                  <c:v>0.47042837781685637</c:v>
                </c:pt>
                <c:pt idx="13">
                  <c:v>0.4690828550858186</c:v>
                </c:pt>
                <c:pt idx="14">
                  <c:v>0.46525121650474649</c:v>
                </c:pt>
              </c:numCache>
            </c:numRef>
          </c:yVal>
          <c:smooth val="0"/>
          <c:extLst>
            <c:ext xmlns:c16="http://schemas.microsoft.com/office/drawing/2014/chart" uri="{C3380CC4-5D6E-409C-BE32-E72D297353CC}">
              <c16:uniqueId val="{00000001-E413-D743-877C-ACC436BCA0E2}"/>
            </c:ext>
          </c:extLst>
        </c:ser>
        <c:dLbls>
          <c:showLegendKey val="0"/>
          <c:showVal val="0"/>
          <c:showCatName val="0"/>
          <c:showSerName val="0"/>
          <c:showPercent val="0"/>
          <c:showBubbleSize val="0"/>
        </c:dLbls>
        <c:axId val="553189471"/>
        <c:axId val="876489007"/>
      </c:scatterChart>
      <c:valAx>
        <c:axId val="553189471"/>
        <c:scaling>
          <c:orientation val="minMax"/>
          <c:min val="0.6"/>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k</a:t>
                </a:r>
                <a:r>
                  <a:rPr lang="en-US" sz="1000" b="0" i="0" u="none" strike="noStrike" kern="1200" baseline="-25000">
                    <a:solidFill>
                      <a:sysClr val="windowText" lastClr="000000">
                        <a:lumMod val="65000"/>
                        <a:lumOff val="35000"/>
                      </a:sysClr>
                    </a:solidFill>
                  </a:rPr>
                  <a:t>2</a:t>
                </a:r>
                <a:r>
                  <a:rPr lang="en-US" sz="1000" b="0" i="0" u="none" strike="noStrike" kern="1200" baseline="0">
                    <a:solidFill>
                      <a:sysClr val="windowText" lastClr="000000">
                        <a:lumMod val="65000"/>
                        <a:lumOff val="35000"/>
                      </a:sysClr>
                    </a:solidFill>
                  </a:rPr>
                  <a:t> / k</a:t>
                </a:r>
                <a:r>
                  <a:rPr lang="en-US" sz="1000" b="0" i="0" u="none" strike="noStrike" kern="1200" baseline="-25000">
                    <a:solidFill>
                      <a:sysClr val="windowText" lastClr="000000">
                        <a:lumMod val="65000"/>
                        <a:lumOff val="35000"/>
                      </a:sysClr>
                    </a:solidFill>
                  </a:rPr>
                  <a:t>1</a:t>
                </a:r>
                <a:endParaRPr lang="en-US" sz="1000" b="0" i="0" u="none" strike="noStrike" kern="120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76489007"/>
        <c:crosses val="autoZero"/>
        <c:crossBetween val="midCat"/>
      </c:valAx>
      <c:valAx>
        <c:axId val="876489007"/>
        <c:scaling>
          <c:orientation val="minMax"/>
          <c:min val="0.34000000000000008"/>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a:t>
                </a:r>
                <a:r>
                  <a:rPr lang="en-US" sz="1000" b="0" i="0" u="none" strike="noStrike" kern="1200" baseline="-25000">
                    <a:solidFill>
                      <a:sysClr val="windowText" lastClr="000000">
                        <a:lumMod val="65000"/>
                        <a:lumOff val="35000"/>
                      </a:sysClr>
                    </a:solidFill>
                  </a:rPr>
                  <a:t>m</a:t>
                </a:r>
                <a:r>
                  <a:rPr lang="en-US" sz="1000" b="0" i="0" u="none" strike="noStrike" kern="1200" baseline="0">
                    <a:solidFill>
                      <a:sysClr val="windowText" lastClr="000000">
                        <a:lumMod val="65000"/>
                        <a:lumOff val="35000"/>
                      </a:sysClr>
                    </a:solidFill>
                  </a:rPr>
                  <a:t> / k</a:t>
                </a:r>
                <a:r>
                  <a:rPr lang="en-US" sz="1000" b="0" i="0" u="none" strike="noStrike" kern="1200" baseline="-25000">
                    <a:solidFill>
                      <a:sysClr val="windowText" lastClr="000000">
                        <a:lumMod val="65000"/>
                        <a:lumOff val="35000"/>
                      </a:sysClr>
                    </a:solidFill>
                  </a:rPr>
                  <a:t>1</a:t>
                </a:r>
                <a:r>
                  <a:rPr lang="en-US" sz="1000" b="0" i="0" u="none" strike="noStrike" kern="1200" baseline="0">
                    <a:solidFill>
                      <a:sysClr val="windowText" lastClr="000000">
                        <a:lumMod val="65000"/>
                        <a:lumOff val="35000"/>
                      </a:sysClr>
                    </a:solidFill>
                  </a:rPr>
                  <a:t> (</a:t>
                </a:r>
                <a:r>
                  <a:rPr lang="ca-ES" sz="1000" b="0" i="0" u="none" strike="noStrike" kern="1200" baseline="0">
                    <a:solidFill>
                      <a:sysClr val="windowText" lastClr="000000">
                        <a:lumMod val="65000"/>
                        <a:lumOff val="35000"/>
                      </a:sysClr>
                    </a:solidFill>
                    <a:effectLst/>
                  </a:rPr>
                  <a:t>mg/mL</a:t>
                </a:r>
                <a:r>
                  <a:rPr lang="en-US" sz="1000" b="0" i="0" u="none" strike="noStrike" kern="1200" baseline="0">
                    <a:solidFill>
                      <a:sysClr val="windowText" lastClr="000000">
                        <a:lumMod val="65000"/>
                        <a:lumOff val="35000"/>
                      </a:sysClr>
                    </a:solidFill>
                  </a:rPr>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a-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531894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1"/>
          <c:order val="0"/>
          <c:tx>
            <c:v>Ni/Co 0,4/0,4</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0.22460412658214038"/>
                  <c:y val="0.2077627995750275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s-ES"/>
                </a:p>
              </c:txPr>
            </c:trendlineLbl>
          </c:trendline>
          <c:xVal>
            <c:numRef>
              <c:f>'Pràctica A'!$B$157:$B$171</c:f>
              <c:numCache>
                <c:formatCode>0.00</c:formatCode>
                <c:ptCount val="15"/>
                <c:pt idx="0">
                  <c:v>1.057560972442495</c:v>
                </c:pt>
                <c:pt idx="1">
                  <c:v>0.99636021489650051</c:v>
                </c:pt>
                <c:pt idx="2">
                  <c:v>0.89323126154716548</c:v>
                </c:pt>
                <c:pt idx="3">
                  <c:v>0.83503666787858366</c:v>
                </c:pt>
                <c:pt idx="4">
                  <c:v>0.80811054047247788</c:v>
                </c:pt>
                <c:pt idx="5">
                  <c:v>0.80330720529654587</c:v>
                </c:pt>
                <c:pt idx="6">
                  <c:v>0.79929669096029021</c:v>
                </c:pt>
                <c:pt idx="7">
                  <c:v>0.78189761951468573</c:v>
                </c:pt>
                <c:pt idx="8">
                  <c:v>0.75094499562194861</c:v>
                </c:pt>
                <c:pt idx="9">
                  <c:v>0.71647419902875042</c:v>
                </c:pt>
                <c:pt idx="10">
                  <c:v>0.68759118574618894</c:v>
                </c:pt>
                <c:pt idx="11">
                  <c:v>0.66959073109868805</c:v>
                </c:pt>
                <c:pt idx="12">
                  <c:v>0.66132350096400949</c:v>
                </c:pt>
                <c:pt idx="13">
                  <c:v>0.65673823596354297</c:v>
                </c:pt>
                <c:pt idx="14">
                  <c:v>0.64866202710025878</c:v>
                </c:pt>
              </c:numCache>
            </c:numRef>
          </c:xVal>
          <c:yVal>
            <c:numRef>
              <c:f>'Pràctica A'!$C$157:$C$171</c:f>
              <c:numCache>
                <c:formatCode>0.000000</c:formatCode>
                <c:ptCount val="15"/>
                <c:pt idx="0">
                  <c:v>0.82695796428882262</c:v>
                </c:pt>
                <c:pt idx="1">
                  <c:v>0.81761404711063934</c:v>
                </c:pt>
                <c:pt idx="2">
                  <c:v>0.77137759735160372</c:v>
                </c:pt>
                <c:pt idx="3">
                  <c:v>0.75111400296180697</c:v>
                </c:pt>
                <c:pt idx="4">
                  <c:v>0.74270990254697433</c:v>
                </c:pt>
                <c:pt idx="5">
                  <c:v>0.74265552697347859</c:v>
                </c:pt>
                <c:pt idx="6">
                  <c:v>0.74358154578237123</c:v>
                </c:pt>
                <c:pt idx="7">
                  <c:v>0.73814765999131349</c:v>
                </c:pt>
                <c:pt idx="8">
                  <c:v>0.72745552718996809</c:v>
                </c:pt>
                <c:pt idx="9">
                  <c:v>0.71490466992797808</c:v>
                </c:pt>
                <c:pt idx="10">
                  <c:v>0.70437806561059357</c:v>
                </c:pt>
                <c:pt idx="11">
                  <c:v>0.69851932515586246</c:v>
                </c:pt>
                <c:pt idx="12">
                  <c:v>0.69583930177554221</c:v>
                </c:pt>
                <c:pt idx="13">
                  <c:v>0.69361680310010487</c:v>
                </c:pt>
                <c:pt idx="14">
                  <c:v>0.68858937060394954</c:v>
                </c:pt>
              </c:numCache>
            </c:numRef>
          </c:yVal>
          <c:smooth val="0"/>
          <c:extLst>
            <c:ext xmlns:c16="http://schemas.microsoft.com/office/drawing/2014/chart" uri="{C3380CC4-5D6E-409C-BE32-E72D297353CC}">
              <c16:uniqueId val="{00000000-E413-D743-877C-ACC436BCA0E2}"/>
            </c:ext>
          </c:extLst>
        </c:ser>
        <c:dLbls>
          <c:showLegendKey val="0"/>
          <c:showVal val="0"/>
          <c:showCatName val="0"/>
          <c:showSerName val="0"/>
          <c:showPercent val="0"/>
          <c:showBubbleSize val="0"/>
        </c:dLbls>
        <c:axId val="553189471"/>
        <c:axId val="876489007"/>
      </c:scatterChart>
      <c:valAx>
        <c:axId val="553189471"/>
        <c:scaling>
          <c:orientation val="minMax"/>
          <c:min val="0.6"/>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k</a:t>
                </a:r>
                <a:r>
                  <a:rPr lang="en-US" sz="1000" b="0" i="0" u="none" strike="noStrike" kern="1200" baseline="-25000">
                    <a:solidFill>
                      <a:sysClr val="windowText" lastClr="000000">
                        <a:lumMod val="65000"/>
                        <a:lumOff val="35000"/>
                      </a:sysClr>
                    </a:solidFill>
                  </a:rPr>
                  <a:t>2</a:t>
                </a:r>
                <a:r>
                  <a:rPr lang="en-US" sz="1000" b="0" i="0" u="none" strike="noStrike" kern="1200" baseline="0">
                    <a:solidFill>
                      <a:sysClr val="windowText" lastClr="000000">
                        <a:lumMod val="65000"/>
                        <a:lumOff val="35000"/>
                      </a:sysClr>
                    </a:solidFill>
                  </a:rPr>
                  <a:t> / k</a:t>
                </a:r>
                <a:r>
                  <a:rPr lang="en-US" sz="1000" b="0" i="0" u="none" strike="noStrike" kern="1200" baseline="-25000">
                    <a:solidFill>
                      <a:sysClr val="windowText" lastClr="000000">
                        <a:lumMod val="65000"/>
                        <a:lumOff val="35000"/>
                      </a:sysClr>
                    </a:solidFill>
                  </a:rPr>
                  <a:t>1</a:t>
                </a:r>
                <a:endParaRPr lang="en-US" sz="1000" b="0" i="0" u="none" strike="noStrike" kern="120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76489007"/>
        <c:crosses val="autoZero"/>
        <c:crossBetween val="midCat"/>
      </c:valAx>
      <c:valAx>
        <c:axId val="876489007"/>
        <c:scaling>
          <c:orientation val="minMax"/>
          <c:min val="0.6"/>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a:t>
                </a:r>
                <a:r>
                  <a:rPr lang="en-US" sz="1000" b="0" i="0" u="none" strike="noStrike" kern="1200" baseline="-25000">
                    <a:solidFill>
                      <a:sysClr val="windowText" lastClr="000000">
                        <a:lumMod val="65000"/>
                        <a:lumOff val="35000"/>
                      </a:sysClr>
                    </a:solidFill>
                  </a:rPr>
                  <a:t>m</a:t>
                </a:r>
                <a:r>
                  <a:rPr lang="en-US" sz="1000" b="0" i="0" u="none" strike="noStrike" kern="1200" baseline="0">
                    <a:solidFill>
                      <a:sysClr val="windowText" lastClr="000000">
                        <a:lumMod val="65000"/>
                        <a:lumOff val="35000"/>
                      </a:sysClr>
                    </a:solidFill>
                  </a:rPr>
                  <a:t> / k</a:t>
                </a:r>
                <a:r>
                  <a:rPr lang="en-US" sz="1000" b="0" i="0" u="none" strike="noStrike" kern="1200" baseline="-25000">
                    <a:solidFill>
                      <a:sysClr val="windowText" lastClr="000000">
                        <a:lumMod val="65000"/>
                        <a:lumOff val="35000"/>
                      </a:sysClr>
                    </a:solidFill>
                  </a:rPr>
                  <a:t>1</a:t>
                </a:r>
                <a:r>
                  <a:rPr lang="en-US" sz="1000" b="0" i="0" u="none" strike="noStrike" kern="1200" baseline="0">
                    <a:solidFill>
                      <a:sysClr val="windowText" lastClr="000000">
                        <a:lumMod val="65000"/>
                        <a:lumOff val="35000"/>
                      </a:sysClr>
                    </a:solidFill>
                  </a:rPr>
                  <a:t> (</a:t>
                </a:r>
                <a:r>
                  <a:rPr lang="ca-ES" sz="1000" b="0" i="0" u="none" strike="noStrike" kern="1200" baseline="0">
                    <a:solidFill>
                      <a:sysClr val="windowText" lastClr="000000">
                        <a:lumMod val="65000"/>
                        <a:lumOff val="35000"/>
                      </a:sysClr>
                    </a:solidFill>
                    <a:effectLst/>
                  </a:rPr>
                  <a:t>mg/mL</a:t>
                </a:r>
                <a:r>
                  <a:rPr lang="en-US" sz="1000" b="0" i="0" u="none" strike="noStrike" kern="1200" baseline="0">
                    <a:solidFill>
                      <a:sysClr val="windowText" lastClr="000000">
                        <a:lumMod val="65000"/>
                        <a:lumOff val="35000"/>
                      </a:sysClr>
                    </a:solidFill>
                  </a:rPr>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a-ES"/>
            </a:p>
          </c:txPr>
        </c:title>
        <c:numFmt formatCode="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531894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ca-ES"/>
              <a:t>Ni/Co 0,4 / 0,2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v>Ni/Co 0,4/0,2</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7463914567857639"/>
                  <c:y val="0.3878303512220094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s-ES"/>
                </a:p>
              </c:txPr>
            </c:trendlineLbl>
          </c:trendline>
          <c:xVal>
            <c:numRef>
              <c:f>'Pràctica A'!$B$118:$B$132</c:f>
              <c:numCache>
                <c:formatCode>0.00</c:formatCode>
                <c:ptCount val="15"/>
                <c:pt idx="0">
                  <c:v>1.057560972442495</c:v>
                </c:pt>
                <c:pt idx="1">
                  <c:v>0.99636021489650051</c:v>
                </c:pt>
                <c:pt idx="2">
                  <c:v>0.89323126154716548</c:v>
                </c:pt>
                <c:pt idx="3">
                  <c:v>0.83503666787858366</c:v>
                </c:pt>
                <c:pt idx="4">
                  <c:v>0.80811054047247788</c:v>
                </c:pt>
                <c:pt idx="5">
                  <c:v>0.80330720529654587</c:v>
                </c:pt>
                <c:pt idx="6">
                  <c:v>0.79929669096029021</c:v>
                </c:pt>
                <c:pt idx="7">
                  <c:v>0.78189761951468573</c:v>
                </c:pt>
                <c:pt idx="8">
                  <c:v>0.75094499562194861</c:v>
                </c:pt>
                <c:pt idx="9">
                  <c:v>0.71647419902875042</c:v>
                </c:pt>
                <c:pt idx="10">
                  <c:v>0.68759118574618894</c:v>
                </c:pt>
                <c:pt idx="11">
                  <c:v>0.66959073109868805</c:v>
                </c:pt>
                <c:pt idx="12">
                  <c:v>0.66132350096400949</c:v>
                </c:pt>
                <c:pt idx="13">
                  <c:v>0.65673823596354297</c:v>
                </c:pt>
                <c:pt idx="14">
                  <c:v>0.64866202710025878</c:v>
                </c:pt>
              </c:numCache>
            </c:numRef>
          </c:xVal>
          <c:yVal>
            <c:numRef>
              <c:f>'Pràctica A'!$C$118:$C$132</c:f>
              <c:numCache>
                <c:formatCode>0.000000</c:formatCode>
                <c:ptCount val="15"/>
                <c:pt idx="0">
                  <c:v>0.61531402606955199</c:v>
                </c:pt>
                <c:pt idx="1">
                  <c:v>0.61608380796376228</c:v>
                </c:pt>
                <c:pt idx="2">
                  <c:v>0.5890230527348157</c:v>
                </c:pt>
                <c:pt idx="3">
                  <c:v>0.57923099433354919</c:v>
                </c:pt>
                <c:pt idx="4">
                  <c:v>0.5753628165605098</c:v>
                </c:pt>
                <c:pt idx="5">
                  <c:v>0.57585196597885013</c:v>
                </c:pt>
                <c:pt idx="6">
                  <c:v>0.5768451521052409</c:v>
                </c:pt>
                <c:pt idx="7">
                  <c:v>0.57500042304604426</c:v>
                </c:pt>
                <c:pt idx="8">
                  <c:v>0.5702718005207561</c:v>
                </c:pt>
                <c:pt idx="9">
                  <c:v>0.56513514616453908</c:v>
                </c:pt>
                <c:pt idx="10">
                  <c:v>0.56083130282259541</c:v>
                </c:pt>
                <c:pt idx="11">
                  <c:v>0.55958183218521496</c:v>
                </c:pt>
                <c:pt idx="12">
                  <c:v>0.56017995620317662</c:v>
                </c:pt>
                <c:pt idx="13">
                  <c:v>0.56180432845753892</c:v>
                </c:pt>
                <c:pt idx="14">
                  <c:v>0.56288687207093591</c:v>
                </c:pt>
              </c:numCache>
            </c:numRef>
          </c:yVal>
          <c:smooth val="0"/>
          <c:extLst>
            <c:ext xmlns:c16="http://schemas.microsoft.com/office/drawing/2014/chart" uri="{C3380CC4-5D6E-409C-BE32-E72D297353CC}">
              <c16:uniqueId val="{00000000-27A4-FE40-852C-ED54EF2B023B}"/>
            </c:ext>
          </c:extLst>
        </c:ser>
        <c:dLbls>
          <c:showLegendKey val="0"/>
          <c:showVal val="0"/>
          <c:showCatName val="0"/>
          <c:showSerName val="0"/>
          <c:showPercent val="0"/>
          <c:showBubbleSize val="0"/>
        </c:dLbls>
        <c:axId val="553189471"/>
        <c:axId val="876489007"/>
      </c:scatterChart>
      <c:valAx>
        <c:axId val="553189471"/>
        <c:scaling>
          <c:orientation val="minMax"/>
          <c:min val="0.6"/>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a:t>
                </a:r>
                <a:r>
                  <a:rPr lang="en-US" baseline="-25000"/>
                  <a:t>2</a:t>
                </a:r>
                <a:r>
                  <a:rPr lang="en-US"/>
                  <a:t> / k</a:t>
                </a:r>
                <a:r>
                  <a:rPr lang="en-US" baseline="-25000"/>
                  <a:t>1</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76489007"/>
        <c:crosses val="autoZero"/>
        <c:crossBetween val="midCat"/>
      </c:valAx>
      <c:valAx>
        <c:axId val="876489007"/>
        <c:scaling>
          <c:orientation val="minMax"/>
          <c:min val="0.5"/>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a:t>
                </a:r>
                <a:r>
                  <a:rPr lang="en-US" baseline="-25000"/>
                  <a:t>m</a:t>
                </a:r>
                <a:r>
                  <a:rPr lang="en-US"/>
                  <a:t> / k</a:t>
                </a:r>
                <a:r>
                  <a:rPr lang="en-US" baseline="-25000"/>
                  <a:t>1</a:t>
                </a:r>
                <a:r>
                  <a:rPr lang="en-US"/>
                  <a:t> (</a:t>
                </a:r>
                <a:r>
                  <a:rPr lang="ca-ES" sz="1000" b="0" i="0" u="none" strike="noStrike" baseline="0">
                    <a:effectLst/>
                  </a:rPr>
                  <a:t>mg/mL</a:t>
                </a: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a-ES"/>
            </a:p>
          </c:txPr>
        </c:title>
        <c:numFmt formatCode="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531894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'Pràctica A'!$H$51:$J$51</c:f>
          <c:strCache>
            <c:ptCount val="3"/>
            <c:pt idx="0">
              <c:v>Mostres Ni / Co (mg/L)</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'Pràctica A'!$H$52</c:f>
              <c:strCache>
                <c:ptCount val="1"/>
                <c:pt idx="0">
                  <c:v>0,2 / 0,4 (mg/mL)</c:v>
                </c:pt>
              </c:strCache>
            </c:strRef>
          </c:tx>
          <c:spPr>
            <a:ln w="25400" cap="rnd">
              <a:noFill/>
              <a:round/>
            </a:ln>
            <a:effectLst/>
          </c:spPr>
          <c:marker>
            <c:symbol val="circle"/>
            <c:size val="5"/>
            <c:spPr>
              <a:solidFill>
                <a:schemeClr val="accent1"/>
              </a:solidFill>
              <a:ln w="9525">
                <a:solidFill>
                  <a:schemeClr val="accent1"/>
                </a:solidFill>
              </a:ln>
              <a:effectLst/>
            </c:spPr>
          </c:marker>
          <c:xVal>
            <c:numRef>
              <c:f>'Pràctica A'!$A$53:$A$67</c:f>
              <c:numCache>
                <c:formatCode>General</c:formatCode>
                <c:ptCount val="15"/>
                <c:pt idx="0">
                  <c:v>550</c:v>
                </c:pt>
                <c:pt idx="1">
                  <c:v>545</c:v>
                </c:pt>
                <c:pt idx="2">
                  <c:v>540</c:v>
                </c:pt>
                <c:pt idx="3">
                  <c:v>535</c:v>
                </c:pt>
                <c:pt idx="4">
                  <c:v>530</c:v>
                </c:pt>
                <c:pt idx="5">
                  <c:v>525</c:v>
                </c:pt>
                <c:pt idx="6">
                  <c:v>520</c:v>
                </c:pt>
                <c:pt idx="7">
                  <c:v>515</c:v>
                </c:pt>
                <c:pt idx="8">
                  <c:v>510</c:v>
                </c:pt>
                <c:pt idx="9">
                  <c:v>505</c:v>
                </c:pt>
                <c:pt idx="10">
                  <c:v>500</c:v>
                </c:pt>
                <c:pt idx="11">
                  <c:v>495</c:v>
                </c:pt>
                <c:pt idx="12">
                  <c:v>490</c:v>
                </c:pt>
                <c:pt idx="13">
                  <c:v>485</c:v>
                </c:pt>
                <c:pt idx="14">
                  <c:v>480</c:v>
                </c:pt>
              </c:numCache>
            </c:numRef>
          </c:xVal>
          <c:yVal>
            <c:numRef>
              <c:f>'Pràctica A'!$H$53:$H$67</c:f>
              <c:numCache>
                <c:formatCode>0.000000</c:formatCode>
                <c:ptCount val="15"/>
                <c:pt idx="0">
                  <c:v>0.22475500000000001</c:v>
                </c:pt>
                <c:pt idx="1">
                  <c:v>0.242007</c:v>
                </c:pt>
                <c:pt idx="2">
                  <c:v>0.257577</c:v>
                </c:pt>
                <c:pt idx="3">
                  <c:v>0.27008300000000002</c:v>
                </c:pt>
                <c:pt idx="4">
                  <c:v>0.27764899999999998</c:v>
                </c:pt>
                <c:pt idx="5">
                  <c:v>0.28016999999999997</c:v>
                </c:pt>
                <c:pt idx="6">
                  <c:v>0.27915899999999999</c:v>
                </c:pt>
                <c:pt idx="7">
                  <c:v>0.27611999999999998</c:v>
                </c:pt>
                <c:pt idx="8">
                  <c:v>0.271117</c:v>
                </c:pt>
                <c:pt idx="9">
                  <c:v>0.26358399999999998</c:v>
                </c:pt>
                <c:pt idx="10">
                  <c:v>0.25330399999999997</c:v>
                </c:pt>
                <c:pt idx="11">
                  <c:v>0.240283</c:v>
                </c:pt>
                <c:pt idx="12">
                  <c:v>0.22359499999999999</c:v>
                </c:pt>
                <c:pt idx="13">
                  <c:v>0.20483599999999999</c:v>
                </c:pt>
                <c:pt idx="14">
                  <c:v>0.18429799999999999</c:v>
                </c:pt>
              </c:numCache>
            </c:numRef>
          </c:yVal>
          <c:smooth val="0"/>
          <c:extLst>
            <c:ext xmlns:c16="http://schemas.microsoft.com/office/drawing/2014/chart" uri="{C3380CC4-5D6E-409C-BE32-E72D297353CC}">
              <c16:uniqueId val="{00000000-7A2C-4443-BC6D-F0F27C35EC6F}"/>
            </c:ext>
          </c:extLst>
        </c:ser>
        <c:ser>
          <c:idx val="1"/>
          <c:order val="1"/>
          <c:tx>
            <c:strRef>
              <c:f>'Pràctica A'!$I$52</c:f>
              <c:strCache>
                <c:ptCount val="1"/>
                <c:pt idx="0">
                  <c:v>0,4 / 0,4 (mg/mL)</c:v>
                </c:pt>
              </c:strCache>
            </c:strRef>
          </c:tx>
          <c:spPr>
            <a:ln w="25400" cap="rnd">
              <a:noFill/>
              <a:round/>
            </a:ln>
            <a:effectLst/>
          </c:spPr>
          <c:marker>
            <c:symbol val="circle"/>
            <c:size val="5"/>
            <c:spPr>
              <a:solidFill>
                <a:schemeClr val="accent2"/>
              </a:solidFill>
              <a:ln w="9525">
                <a:solidFill>
                  <a:schemeClr val="accent2"/>
                </a:solidFill>
              </a:ln>
              <a:effectLst/>
            </c:spPr>
          </c:marker>
          <c:xVal>
            <c:numRef>
              <c:f>'Pràctica A'!$A$53:$A$67</c:f>
              <c:numCache>
                <c:formatCode>General</c:formatCode>
                <c:ptCount val="15"/>
                <c:pt idx="0">
                  <c:v>550</c:v>
                </c:pt>
                <c:pt idx="1">
                  <c:v>545</c:v>
                </c:pt>
                <c:pt idx="2">
                  <c:v>540</c:v>
                </c:pt>
                <c:pt idx="3">
                  <c:v>535</c:v>
                </c:pt>
                <c:pt idx="4">
                  <c:v>530</c:v>
                </c:pt>
                <c:pt idx="5">
                  <c:v>525</c:v>
                </c:pt>
                <c:pt idx="6">
                  <c:v>520</c:v>
                </c:pt>
                <c:pt idx="7">
                  <c:v>515</c:v>
                </c:pt>
                <c:pt idx="8">
                  <c:v>510</c:v>
                </c:pt>
                <c:pt idx="9">
                  <c:v>505</c:v>
                </c:pt>
                <c:pt idx="10">
                  <c:v>500</c:v>
                </c:pt>
                <c:pt idx="11">
                  <c:v>495</c:v>
                </c:pt>
                <c:pt idx="12">
                  <c:v>490</c:v>
                </c:pt>
                <c:pt idx="13">
                  <c:v>485</c:v>
                </c:pt>
                <c:pt idx="14">
                  <c:v>480</c:v>
                </c:pt>
              </c:numCache>
            </c:numRef>
          </c:xVal>
          <c:yVal>
            <c:numRef>
              <c:f>'Pràctica A'!$I$53:$I$67</c:f>
              <c:numCache>
                <c:formatCode>0.000000</c:formatCode>
                <c:ptCount val="15"/>
                <c:pt idx="0">
                  <c:v>0.297182</c:v>
                </c:pt>
                <c:pt idx="1">
                  <c:v>0.326104</c:v>
                </c:pt>
                <c:pt idx="2">
                  <c:v>0.35388999999999998</c:v>
                </c:pt>
                <c:pt idx="3">
                  <c:v>0.37645499999999998</c:v>
                </c:pt>
                <c:pt idx="4">
                  <c:v>0.39011699999999999</c:v>
                </c:pt>
                <c:pt idx="5">
                  <c:v>0.39472099999999999</c:v>
                </c:pt>
                <c:pt idx="6">
                  <c:v>0.39447599999999999</c:v>
                </c:pt>
                <c:pt idx="7">
                  <c:v>0.39258900000000002</c:v>
                </c:pt>
                <c:pt idx="8">
                  <c:v>0.38922899999999999</c:v>
                </c:pt>
                <c:pt idx="9">
                  <c:v>0.38248500000000002</c:v>
                </c:pt>
                <c:pt idx="10">
                  <c:v>0.370971</c:v>
                </c:pt>
                <c:pt idx="11">
                  <c:v>0.35401199999999999</c:v>
                </c:pt>
                <c:pt idx="12">
                  <c:v>0.330733</c:v>
                </c:pt>
                <c:pt idx="13">
                  <c:v>0.30288399999999999</c:v>
                </c:pt>
                <c:pt idx="14">
                  <c:v>0.27276800000000001</c:v>
                </c:pt>
              </c:numCache>
            </c:numRef>
          </c:yVal>
          <c:smooth val="0"/>
          <c:extLst>
            <c:ext xmlns:c16="http://schemas.microsoft.com/office/drawing/2014/chart" uri="{C3380CC4-5D6E-409C-BE32-E72D297353CC}">
              <c16:uniqueId val="{00000001-7A2C-4443-BC6D-F0F27C35EC6F}"/>
            </c:ext>
          </c:extLst>
        </c:ser>
        <c:ser>
          <c:idx val="2"/>
          <c:order val="2"/>
          <c:tx>
            <c:strRef>
              <c:f>'Pràctica A'!$J$52</c:f>
              <c:strCache>
                <c:ptCount val="1"/>
                <c:pt idx="0">
                  <c:v>0,4 / 0,2 (mg/mL)</c:v>
                </c:pt>
              </c:strCache>
            </c:strRef>
          </c:tx>
          <c:spPr>
            <a:ln w="25400" cap="rnd">
              <a:noFill/>
              <a:round/>
            </a:ln>
            <a:effectLst/>
          </c:spPr>
          <c:marker>
            <c:symbol val="circle"/>
            <c:size val="5"/>
            <c:spPr>
              <a:solidFill>
                <a:schemeClr val="accent3"/>
              </a:solidFill>
              <a:ln w="9525">
                <a:solidFill>
                  <a:schemeClr val="accent3"/>
                </a:solidFill>
              </a:ln>
              <a:effectLst/>
            </c:spPr>
          </c:marker>
          <c:xVal>
            <c:numRef>
              <c:f>'Pràctica A'!$A$53:$A$67</c:f>
              <c:numCache>
                <c:formatCode>General</c:formatCode>
                <c:ptCount val="15"/>
                <c:pt idx="0">
                  <c:v>550</c:v>
                </c:pt>
                <c:pt idx="1">
                  <c:v>545</c:v>
                </c:pt>
                <c:pt idx="2">
                  <c:v>540</c:v>
                </c:pt>
                <c:pt idx="3">
                  <c:v>535</c:v>
                </c:pt>
                <c:pt idx="4">
                  <c:v>530</c:v>
                </c:pt>
                <c:pt idx="5">
                  <c:v>525</c:v>
                </c:pt>
                <c:pt idx="6">
                  <c:v>520</c:v>
                </c:pt>
                <c:pt idx="7">
                  <c:v>515</c:v>
                </c:pt>
                <c:pt idx="8">
                  <c:v>510</c:v>
                </c:pt>
                <c:pt idx="9">
                  <c:v>505</c:v>
                </c:pt>
                <c:pt idx="10">
                  <c:v>500</c:v>
                </c:pt>
                <c:pt idx="11">
                  <c:v>495</c:v>
                </c:pt>
                <c:pt idx="12">
                  <c:v>490</c:v>
                </c:pt>
                <c:pt idx="13">
                  <c:v>485</c:v>
                </c:pt>
                <c:pt idx="14">
                  <c:v>480</c:v>
                </c:pt>
              </c:numCache>
            </c:numRef>
          </c:xVal>
          <c:yVal>
            <c:numRef>
              <c:f>'Pràctica A'!$J$53:$J$67</c:f>
              <c:numCache>
                <c:formatCode>0.000000</c:formatCode>
                <c:ptCount val="15"/>
                <c:pt idx="0">
                  <c:v>0.22112399999999999</c:v>
                </c:pt>
                <c:pt idx="1">
                  <c:v>0.245724</c:v>
                </c:pt>
                <c:pt idx="2">
                  <c:v>0.27023000000000003</c:v>
                </c:pt>
                <c:pt idx="3">
                  <c:v>0.29030800000000001</c:v>
                </c:pt>
                <c:pt idx="4">
                  <c:v>0.30221599999999998</c:v>
                </c:pt>
                <c:pt idx="5">
                  <c:v>0.30606499999999998</c:v>
                </c:pt>
                <c:pt idx="6">
                  <c:v>0.30602099999999999</c:v>
                </c:pt>
                <c:pt idx="7">
                  <c:v>0.30581799999999998</c:v>
                </c:pt>
                <c:pt idx="8">
                  <c:v>0.30512699999999998</c:v>
                </c:pt>
                <c:pt idx="9">
                  <c:v>0.30235600000000001</c:v>
                </c:pt>
                <c:pt idx="10">
                  <c:v>0.29537000000000002</c:v>
                </c:pt>
                <c:pt idx="11">
                  <c:v>0.28359800000000002</c:v>
                </c:pt>
                <c:pt idx="12">
                  <c:v>0.26625399999999999</c:v>
                </c:pt>
                <c:pt idx="13">
                  <c:v>0.24532499999999999</c:v>
                </c:pt>
                <c:pt idx="14">
                  <c:v>0.22297400000000001</c:v>
                </c:pt>
              </c:numCache>
            </c:numRef>
          </c:yVal>
          <c:smooth val="0"/>
          <c:extLst>
            <c:ext xmlns:c16="http://schemas.microsoft.com/office/drawing/2014/chart" uri="{C3380CC4-5D6E-409C-BE32-E72D297353CC}">
              <c16:uniqueId val="{00000002-7A2C-4443-BC6D-F0F27C35EC6F}"/>
            </c:ext>
          </c:extLst>
        </c:ser>
        <c:dLbls>
          <c:showLegendKey val="0"/>
          <c:showVal val="0"/>
          <c:showCatName val="0"/>
          <c:showSerName val="0"/>
          <c:showPercent val="0"/>
          <c:showBubbleSize val="0"/>
        </c:dLbls>
        <c:axId val="1873331807"/>
        <c:axId val="1873334207"/>
      </c:scatterChart>
      <c:valAx>
        <c:axId val="1873331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Longitud d'ona (nm)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a-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73334207"/>
        <c:crosses val="autoZero"/>
        <c:crossBetween val="midCat"/>
      </c:valAx>
      <c:valAx>
        <c:axId val="18733342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Absorbància</a:t>
                </a:r>
                <a:r>
                  <a:rPr lang="en-US" baseline="0"/>
                  <a:t> (u.a.)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733318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Amb els paràmetres finals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a-ES"/>
        </a:p>
      </c:txPr>
    </c:title>
    <c:autoTitleDeleted val="0"/>
    <c:plotArea>
      <c:layout/>
      <c:scatterChart>
        <c:scatterStyle val="lineMarker"/>
        <c:varyColors val="0"/>
        <c:ser>
          <c:idx val="0"/>
          <c:order val="0"/>
          <c:tx>
            <c:v>exp</c:v>
          </c:tx>
          <c:spPr>
            <a:ln w="25400" cap="rnd">
              <a:noFill/>
              <a:round/>
            </a:ln>
            <a:effectLst/>
          </c:spPr>
          <c:marker>
            <c:symbol val="circle"/>
            <c:size val="5"/>
            <c:spPr>
              <a:solidFill>
                <a:schemeClr val="accent1"/>
              </a:solidFill>
              <a:ln w="9525">
                <a:solidFill>
                  <a:schemeClr val="accent1"/>
                </a:solidFill>
              </a:ln>
              <a:effectLst/>
            </c:spPr>
          </c:marker>
          <c:xVal>
            <c:numRef>
              <c:f>Solver!$E$5:$E$19</c:f>
              <c:numCache>
                <c:formatCode>General</c:formatCode>
                <c:ptCount val="15"/>
                <c:pt idx="0">
                  <c:v>550</c:v>
                </c:pt>
                <c:pt idx="1">
                  <c:v>545</c:v>
                </c:pt>
                <c:pt idx="2">
                  <c:v>540</c:v>
                </c:pt>
                <c:pt idx="3">
                  <c:v>535</c:v>
                </c:pt>
                <c:pt idx="4">
                  <c:v>530</c:v>
                </c:pt>
                <c:pt idx="5">
                  <c:v>525</c:v>
                </c:pt>
                <c:pt idx="6">
                  <c:v>520</c:v>
                </c:pt>
                <c:pt idx="7">
                  <c:v>515</c:v>
                </c:pt>
                <c:pt idx="8">
                  <c:v>510</c:v>
                </c:pt>
                <c:pt idx="9">
                  <c:v>505</c:v>
                </c:pt>
                <c:pt idx="10">
                  <c:v>500</c:v>
                </c:pt>
                <c:pt idx="11">
                  <c:v>495</c:v>
                </c:pt>
                <c:pt idx="12">
                  <c:v>490</c:v>
                </c:pt>
                <c:pt idx="13">
                  <c:v>485</c:v>
                </c:pt>
                <c:pt idx="14">
                  <c:v>480</c:v>
                </c:pt>
              </c:numCache>
            </c:numRef>
          </c:xVal>
          <c:yVal>
            <c:numRef>
              <c:f>Solver!$D$5:$D$17</c:f>
              <c:numCache>
                <c:formatCode>0.000000</c:formatCode>
                <c:ptCount val="13"/>
                <c:pt idx="0">
                  <c:v>0.22112399999999999</c:v>
                </c:pt>
                <c:pt idx="1">
                  <c:v>0.245724</c:v>
                </c:pt>
                <c:pt idx="2">
                  <c:v>0.27023000000000003</c:v>
                </c:pt>
                <c:pt idx="3">
                  <c:v>0.29030800000000001</c:v>
                </c:pt>
                <c:pt idx="4">
                  <c:v>0.30221599999999998</c:v>
                </c:pt>
                <c:pt idx="5">
                  <c:v>0.30606499999999998</c:v>
                </c:pt>
                <c:pt idx="6">
                  <c:v>0.30602099999999999</c:v>
                </c:pt>
                <c:pt idx="7">
                  <c:v>0.30581799999999998</c:v>
                </c:pt>
                <c:pt idx="8">
                  <c:v>0.30512699999999998</c:v>
                </c:pt>
                <c:pt idx="9">
                  <c:v>0.30235600000000001</c:v>
                </c:pt>
                <c:pt idx="10">
                  <c:v>0.29537000000000002</c:v>
                </c:pt>
                <c:pt idx="11">
                  <c:v>0.28359800000000002</c:v>
                </c:pt>
                <c:pt idx="12">
                  <c:v>0.26625399999999999</c:v>
                </c:pt>
              </c:numCache>
            </c:numRef>
          </c:yVal>
          <c:smooth val="0"/>
          <c:extLst>
            <c:ext xmlns:c16="http://schemas.microsoft.com/office/drawing/2014/chart" uri="{C3380CC4-5D6E-409C-BE32-E72D297353CC}">
              <c16:uniqueId val="{00000000-2126-465F-9861-8D545E7D2115}"/>
            </c:ext>
          </c:extLst>
        </c:ser>
        <c:ser>
          <c:idx val="1"/>
          <c:order val="1"/>
          <c:tx>
            <c:v>calculat</c:v>
          </c:tx>
          <c:spPr>
            <a:ln w="25400" cap="rnd">
              <a:noFill/>
              <a:round/>
            </a:ln>
            <a:effectLst/>
          </c:spPr>
          <c:marker>
            <c:symbol val="circle"/>
            <c:size val="5"/>
            <c:spPr>
              <a:solidFill>
                <a:schemeClr val="accent2"/>
              </a:solidFill>
              <a:ln w="9525">
                <a:solidFill>
                  <a:schemeClr val="accent2"/>
                </a:solidFill>
              </a:ln>
              <a:effectLst/>
            </c:spPr>
          </c:marker>
          <c:xVal>
            <c:numRef>
              <c:f>Solver!$E$5:$E$19</c:f>
              <c:numCache>
                <c:formatCode>General</c:formatCode>
                <c:ptCount val="15"/>
                <c:pt idx="0">
                  <c:v>550</c:v>
                </c:pt>
                <c:pt idx="1">
                  <c:v>545</c:v>
                </c:pt>
                <c:pt idx="2">
                  <c:v>540</c:v>
                </c:pt>
                <c:pt idx="3">
                  <c:v>535</c:v>
                </c:pt>
                <c:pt idx="4">
                  <c:v>530</c:v>
                </c:pt>
                <c:pt idx="5">
                  <c:v>525</c:v>
                </c:pt>
                <c:pt idx="6">
                  <c:v>520</c:v>
                </c:pt>
                <c:pt idx="7">
                  <c:v>515</c:v>
                </c:pt>
                <c:pt idx="8">
                  <c:v>510</c:v>
                </c:pt>
                <c:pt idx="9">
                  <c:v>505</c:v>
                </c:pt>
                <c:pt idx="10">
                  <c:v>500</c:v>
                </c:pt>
                <c:pt idx="11">
                  <c:v>495</c:v>
                </c:pt>
                <c:pt idx="12">
                  <c:v>490</c:v>
                </c:pt>
                <c:pt idx="13">
                  <c:v>485</c:v>
                </c:pt>
                <c:pt idx="14">
                  <c:v>480</c:v>
                </c:pt>
              </c:numCache>
            </c:numRef>
          </c:xVal>
          <c:yVal>
            <c:numRef>
              <c:f>Solver!$F$5:$F$19</c:f>
              <c:numCache>
                <c:formatCode>0.000000</c:formatCode>
                <c:ptCount val="15"/>
                <c:pt idx="0">
                  <c:v>0.22269195737094863</c:v>
                </c:pt>
                <c:pt idx="1">
                  <c:v>0.24272440307632862</c:v>
                </c:pt>
                <c:pt idx="2">
                  <c:v>0.27130480648743704</c:v>
                </c:pt>
                <c:pt idx="3">
                  <c:v>0.29152802369432673</c:v>
                </c:pt>
                <c:pt idx="4">
                  <c:v>0.30313318921691113</c:v>
                </c:pt>
                <c:pt idx="5">
                  <c:v>0.3062651647653245</c:v>
                </c:pt>
                <c:pt idx="6">
                  <c:v>0.30543569211847826</c:v>
                </c:pt>
                <c:pt idx="7">
                  <c:v>0.30496993009569007</c:v>
                </c:pt>
                <c:pt idx="8">
                  <c:v>0.30456400878169765</c:v>
                </c:pt>
                <c:pt idx="9">
                  <c:v>0.30212279136726894</c:v>
                </c:pt>
                <c:pt idx="10">
                  <c:v>0.29558648814795907</c:v>
                </c:pt>
                <c:pt idx="11">
                  <c:v>0.2836652893237947</c:v>
                </c:pt>
                <c:pt idx="12">
                  <c:v>0.26621367765269427</c:v>
                </c:pt>
                <c:pt idx="13">
                  <c:v>0.24522637501843636</c:v>
                </c:pt>
                <c:pt idx="14">
                  <c:v>0.22307622735932156</c:v>
                </c:pt>
              </c:numCache>
            </c:numRef>
          </c:yVal>
          <c:smooth val="0"/>
          <c:extLst>
            <c:ext xmlns:c16="http://schemas.microsoft.com/office/drawing/2014/chart" uri="{C3380CC4-5D6E-409C-BE32-E72D297353CC}">
              <c16:uniqueId val="{00000001-2126-465F-9861-8D545E7D2115}"/>
            </c:ext>
          </c:extLst>
        </c:ser>
        <c:dLbls>
          <c:showLegendKey val="0"/>
          <c:showVal val="0"/>
          <c:showCatName val="0"/>
          <c:showSerName val="0"/>
          <c:showPercent val="0"/>
          <c:showBubbleSize val="0"/>
        </c:dLbls>
        <c:axId val="510060047"/>
        <c:axId val="510060527"/>
      </c:scatterChart>
      <c:valAx>
        <c:axId val="510060047"/>
        <c:scaling>
          <c:orientation val="minMax"/>
        </c:scaling>
        <c:delete val="0"/>
        <c:axPos val="b"/>
        <c:title>
          <c:tx>
            <c:strRef>
              <c:f>Solver!$E$4</c:f>
              <c:strCache>
                <c:ptCount val="1"/>
                <c:pt idx="0">
                  <c:v>λ (nm)</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a-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crossAx val="510060527"/>
        <c:crosses val="autoZero"/>
        <c:crossBetween val="midCat"/>
      </c:valAx>
      <c:valAx>
        <c:axId val="510060527"/>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Absorbància (u.a.)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a-ES"/>
            </a:p>
          </c:txPr>
        </c:title>
        <c:numFmt formatCode="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crossAx val="5100600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ca-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Amb els paràmetres finals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a-ES"/>
        </a:p>
      </c:txPr>
    </c:title>
    <c:autoTitleDeleted val="0"/>
    <c:plotArea>
      <c:layout/>
      <c:scatterChart>
        <c:scatterStyle val="lineMarker"/>
        <c:varyColors val="0"/>
        <c:ser>
          <c:idx val="0"/>
          <c:order val="0"/>
          <c:tx>
            <c:v>exp</c:v>
          </c:tx>
          <c:spPr>
            <a:ln w="25400" cap="rnd">
              <a:noFill/>
              <a:round/>
            </a:ln>
            <a:effectLst/>
          </c:spPr>
          <c:marker>
            <c:symbol val="circle"/>
            <c:size val="5"/>
            <c:spPr>
              <a:solidFill>
                <a:schemeClr val="accent1"/>
              </a:solidFill>
              <a:ln w="9525">
                <a:solidFill>
                  <a:schemeClr val="accent1"/>
                </a:solidFill>
              </a:ln>
              <a:effectLst/>
            </c:spPr>
          </c:marker>
          <c:xVal>
            <c:numRef>
              <c:f>Solver!$E$5:$E$19</c:f>
              <c:numCache>
                <c:formatCode>General</c:formatCode>
                <c:ptCount val="15"/>
                <c:pt idx="0">
                  <c:v>550</c:v>
                </c:pt>
                <c:pt idx="1">
                  <c:v>545</c:v>
                </c:pt>
                <c:pt idx="2">
                  <c:v>540</c:v>
                </c:pt>
                <c:pt idx="3">
                  <c:v>535</c:v>
                </c:pt>
                <c:pt idx="4">
                  <c:v>530</c:v>
                </c:pt>
                <c:pt idx="5">
                  <c:v>525</c:v>
                </c:pt>
                <c:pt idx="6">
                  <c:v>520</c:v>
                </c:pt>
                <c:pt idx="7">
                  <c:v>515</c:v>
                </c:pt>
                <c:pt idx="8">
                  <c:v>510</c:v>
                </c:pt>
                <c:pt idx="9">
                  <c:v>505</c:v>
                </c:pt>
                <c:pt idx="10">
                  <c:v>500</c:v>
                </c:pt>
                <c:pt idx="11">
                  <c:v>495</c:v>
                </c:pt>
                <c:pt idx="12">
                  <c:v>490</c:v>
                </c:pt>
                <c:pt idx="13">
                  <c:v>485</c:v>
                </c:pt>
                <c:pt idx="14">
                  <c:v>480</c:v>
                </c:pt>
              </c:numCache>
            </c:numRef>
          </c:xVal>
          <c:yVal>
            <c:numRef>
              <c:f>Solver!$D$27:$D$41</c:f>
              <c:numCache>
                <c:formatCode>0.000000</c:formatCode>
                <c:ptCount val="15"/>
                <c:pt idx="0">
                  <c:v>0.297182</c:v>
                </c:pt>
                <c:pt idx="1">
                  <c:v>0.326104</c:v>
                </c:pt>
                <c:pt idx="2">
                  <c:v>0.35388999999999998</c:v>
                </c:pt>
                <c:pt idx="3">
                  <c:v>0.37645499999999998</c:v>
                </c:pt>
                <c:pt idx="4">
                  <c:v>0.39011699999999999</c:v>
                </c:pt>
                <c:pt idx="5">
                  <c:v>0.39472099999999999</c:v>
                </c:pt>
                <c:pt idx="6">
                  <c:v>0.39447599999999999</c:v>
                </c:pt>
                <c:pt idx="7">
                  <c:v>0.39258900000000002</c:v>
                </c:pt>
                <c:pt idx="8">
                  <c:v>0.38922899999999999</c:v>
                </c:pt>
                <c:pt idx="9">
                  <c:v>0.38248500000000002</c:v>
                </c:pt>
                <c:pt idx="10">
                  <c:v>0.370971</c:v>
                </c:pt>
                <c:pt idx="11">
                  <c:v>0.35401199999999999</c:v>
                </c:pt>
                <c:pt idx="12">
                  <c:v>0.330733</c:v>
                </c:pt>
                <c:pt idx="13">
                  <c:v>0.30288399999999999</c:v>
                </c:pt>
                <c:pt idx="14">
                  <c:v>0.27276800000000001</c:v>
                </c:pt>
              </c:numCache>
            </c:numRef>
          </c:yVal>
          <c:smooth val="0"/>
          <c:extLst>
            <c:ext xmlns:c16="http://schemas.microsoft.com/office/drawing/2014/chart" uri="{C3380CC4-5D6E-409C-BE32-E72D297353CC}">
              <c16:uniqueId val="{00000000-F985-4D74-A7A7-612068BA689E}"/>
            </c:ext>
          </c:extLst>
        </c:ser>
        <c:ser>
          <c:idx val="1"/>
          <c:order val="1"/>
          <c:tx>
            <c:v>calculat</c:v>
          </c:tx>
          <c:spPr>
            <a:ln w="25400" cap="rnd">
              <a:noFill/>
              <a:round/>
            </a:ln>
            <a:effectLst/>
          </c:spPr>
          <c:marker>
            <c:symbol val="circle"/>
            <c:size val="5"/>
            <c:spPr>
              <a:solidFill>
                <a:schemeClr val="accent2"/>
              </a:solidFill>
              <a:ln w="9525">
                <a:solidFill>
                  <a:schemeClr val="accent2"/>
                </a:solidFill>
              </a:ln>
              <a:effectLst/>
            </c:spPr>
          </c:marker>
          <c:xVal>
            <c:numRef>
              <c:f>Solver!$E$5:$E$19</c:f>
              <c:numCache>
                <c:formatCode>General</c:formatCode>
                <c:ptCount val="15"/>
                <c:pt idx="0">
                  <c:v>550</c:v>
                </c:pt>
                <c:pt idx="1">
                  <c:v>545</c:v>
                </c:pt>
                <c:pt idx="2">
                  <c:v>540</c:v>
                </c:pt>
                <c:pt idx="3">
                  <c:v>535</c:v>
                </c:pt>
                <c:pt idx="4">
                  <c:v>530</c:v>
                </c:pt>
                <c:pt idx="5">
                  <c:v>525</c:v>
                </c:pt>
                <c:pt idx="6">
                  <c:v>520</c:v>
                </c:pt>
                <c:pt idx="7">
                  <c:v>515</c:v>
                </c:pt>
                <c:pt idx="8">
                  <c:v>510</c:v>
                </c:pt>
                <c:pt idx="9">
                  <c:v>505</c:v>
                </c:pt>
                <c:pt idx="10">
                  <c:v>500</c:v>
                </c:pt>
                <c:pt idx="11">
                  <c:v>495</c:v>
                </c:pt>
                <c:pt idx="12">
                  <c:v>490</c:v>
                </c:pt>
                <c:pt idx="13">
                  <c:v>485</c:v>
                </c:pt>
                <c:pt idx="14">
                  <c:v>480</c:v>
                </c:pt>
              </c:numCache>
            </c:numRef>
          </c:xVal>
          <c:yVal>
            <c:numRef>
              <c:f>Solver!$F$27:$F$41</c:f>
              <c:numCache>
                <c:formatCode>0.000000</c:formatCode>
                <c:ptCount val="15"/>
                <c:pt idx="0">
                  <c:v>0.2984186201501795</c:v>
                </c:pt>
                <c:pt idx="1">
                  <c:v>0.32287372380965007</c:v>
                </c:pt>
                <c:pt idx="2">
                  <c:v>0.35524151936846143</c:v>
                </c:pt>
                <c:pt idx="3">
                  <c:v>0.37813465991220852</c:v>
                </c:pt>
                <c:pt idx="4">
                  <c:v>0.39146544547198636</c:v>
                </c:pt>
                <c:pt idx="5">
                  <c:v>0.39524318931534475</c:v>
                </c:pt>
                <c:pt idx="6">
                  <c:v>0.39377993336186712</c:v>
                </c:pt>
                <c:pt idx="7">
                  <c:v>0.39162345906878571</c:v>
                </c:pt>
                <c:pt idx="8">
                  <c:v>0.3883271673371036</c:v>
                </c:pt>
                <c:pt idx="9">
                  <c:v>0.38200488609006344</c:v>
                </c:pt>
                <c:pt idx="10">
                  <c:v>0.37085157274443048</c:v>
                </c:pt>
                <c:pt idx="11">
                  <c:v>0.35375329677895595</c:v>
                </c:pt>
                <c:pt idx="12">
                  <c:v>0.33042332697460081</c:v>
                </c:pt>
                <c:pt idx="13">
                  <c:v>0.30288675161909179</c:v>
                </c:pt>
                <c:pt idx="14">
                  <c:v>0.27367030490010241</c:v>
                </c:pt>
              </c:numCache>
            </c:numRef>
          </c:yVal>
          <c:smooth val="0"/>
          <c:extLst>
            <c:ext xmlns:c16="http://schemas.microsoft.com/office/drawing/2014/chart" uri="{C3380CC4-5D6E-409C-BE32-E72D297353CC}">
              <c16:uniqueId val="{00000001-F985-4D74-A7A7-612068BA689E}"/>
            </c:ext>
          </c:extLst>
        </c:ser>
        <c:dLbls>
          <c:showLegendKey val="0"/>
          <c:showVal val="0"/>
          <c:showCatName val="0"/>
          <c:showSerName val="0"/>
          <c:showPercent val="0"/>
          <c:showBubbleSize val="0"/>
        </c:dLbls>
        <c:axId val="510060047"/>
        <c:axId val="510060527"/>
      </c:scatterChart>
      <c:valAx>
        <c:axId val="510060047"/>
        <c:scaling>
          <c:orientation val="minMax"/>
        </c:scaling>
        <c:delete val="0"/>
        <c:axPos val="b"/>
        <c:title>
          <c:tx>
            <c:strRef>
              <c:f>Solver!$E$4</c:f>
              <c:strCache>
                <c:ptCount val="1"/>
                <c:pt idx="0">
                  <c:v>λ (nm)</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a-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crossAx val="510060527"/>
        <c:crosses val="autoZero"/>
        <c:crossBetween val="midCat"/>
      </c:valAx>
      <c:valAx>
        <c:axId val="510060527"/>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Absorbància (u.a.)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a-ES"/>
            </a:p>
          </c:txPr>
        </c:title>
        <c:numFmt formatCode="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crossAx val="5100600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ca-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Amb els paràmetres finals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a-ES"/>
        </a:p>
      </c:txPr>
    </c:title>
    <c:autoTitleDeleted val="0"/>
    <c:plotArea>
      <c:layout/>
      <c:scatterChart>
        <c:scatterStyle val="lineMarker"/>
        <c:varyColors val="0"/>
        <c:ser>
          <c:idx val="0"/>
          <c:order val="0"/>
          <c:tx>
            <c:v>exp</c:v>
          </c:tx>
          <c:spPr>
            <a:ln w="25400" cap="rnd">
              <a:noFill/>
              <a:round/>
            </a:ln>
            <a:effectLst/>
          </c:spPr>
          <c:marker>
            <c:symbol val="circle"/>
            <c:size val="5"/>
            <c:spPr>
              <a:solidFill>
                <a:schemeClr val="accent1"/>
              </a:solidFill>
              <a:ln w="9525">
                <a:solidFill>
                  <a:schemeClr val="accent1"/>
                </a:solidFill>
              </a:ln>
              <a:effectLst/>
            </c:spPr>
          </c:marker>
          <c:xVal>
            <c:numRef>
              <c:f>Solver!$E$5:$E$19</c:f>
              <c:numCache>
                <c:formatCode>General</c:formatCode>
                <c:ptCount val="15"/>
                <c:pt idx="0">
                  <c:v>550</c:v>
                </c:pt>
                <c:pt idx="1">
                  <c:v>545</c:v>
                </c:pt>
                <c:pt idx="2">
                  <c:v>540</c:v>
                </c:pt>
                <c:pt idx="3">
                  <c:v>535</c:v>
                </c:pt>
                <c:pt idx="4">
                  <c:v>530</c:v>
                </c:pt>
                <c:pt idx="5">
                  <c:v>525</c:v>
                </c:pt>
                <c:pt idx="6">
                  <c:v>520</c:v>
                </c:pt>
                <c:pt idx="7">
                  <c:v>515</c:v>
                </c:pt>
                <c:pt idx="8">
                  <c:v>510</c:v>
                </c:pt>
                <c:pt idx="9">
                  <c:v>505</c:v>
                </c:pt>
                <c:pt idx="10">
                  <c:v>500</c:v>
                </c:pt>
                <c:pt idx="11">
                  <c:v>495</c:v>
                </c:pt>
                <c:pt idx="12">
                  <c:v>490</c:v>
                </c:pt>
                <c:pt idx="13">
                  <c:v>485</c:v>
                </c:pt>
                <c:pt idx="14">
                  <c:v>480</c:v>
                </c:pt>
              </c:numCache>
            </c:numRef>
          </c:xVal>
          <c:yVal>
            <c:numRef>
              <c:f>Solver!$D$50:$D$64</c:f>
              <c:numCache>
                <c:formatCode>0.000000</c:formatCode>
                <c:ptCount val="15"/>
                <c:pt idx="0">
                  <c:v>0.22475500000000001</c:v>
                </c:pt>
                <c:pt idx="1">
                  <c:v>0.242007</c:v>
                </c:pt>
                <c:pt idx="2">
                  <c:v>0.257577</c:v>
                </c:pt>
                <c:pt idx="3">
                  <c:v>0.27008300000000002</c:v>
                </c:pt>
                <c:pt idx="4">
                  <c:v>0.27764899999999998</c:v>
                </c:pt>
                <c:pt idx="5">
                  <c:v>0.28016999999999997</c:v>
                </c:pt>
                <c:pt idx="6">
                  <c:v>0.27915899999999999</c:v>
                </c:pt>
                <c:pt idx="7">
                  <c:v>0.27611999999999998</c:v>
                </c:pt>
                <c:pt idx="8">
                  <c:v>0.271117</c:v>
                </c:pt>
                <c:pt idx="9">
                  <c:v>0.26358399999999998</c:v>
                </c:pt>
                <c:pt idx="10">
                  <c:v>0.25330399999999997</c:v>
                </c:pt>
                <c:pt idx="11">
                  <c:v>0.240283</c:v>
                </c:pt>
                <c:pt idx="12">
                  <c:v>0.22359499999999999</c:v>
                </c:pt>
                <c:pt idx="13">
                  <c:v>0.20483599999999999</c:v>
                </c:pt>
                <c:pt idx="14">
                  <c:v>0.18429799999999999</c:v>
                </c:pt>
              </c:numCache>
            </c:numRef>
          </c:yVal>
          <c:smooth val="0"/>
          <c:extLst>
            <c:ext xmlns:c16="http://schemas.microsoft.com/office/drawing/2014/chart" uri="{C3380CC4-5D6E-409C-BE32-E72D297353CC}">
              <c16:uniqueId val="{00000000-CFF7-41DC-9735-4A766F19C867}"/>
            </c:ext>
          </c:extLst>
        </c:ser>
        <c:ser>
          <c:idx val="1"/>
          <c:order val="1"/>
          <c:tx>
            <c:v>calculat</c:v>
          </c:tx>
          <c:spPr>
            <a:ln w="25400" cap="rnd">
              <a:noFill/>
              <a:round/>
            </a:ln>
            <a:effectLst/>
          </c:spPr>
          <c:marker>
            <c:symbol val="circle"/>
            <c:size val="5"/>
            <c:spPr>
              <a:solidFill>
                <a:schemeClr val="accent2"/>
              </a:solidFill>
              <a:ln w="9525">
                <a:solidFill>
                  <a:schemeClr val="accent2"/>
                </a:solidFill>
              </a:ln>
              <a:effectLst/>
            </c:spPr>
          </c:marker>
          <c:xVal>
            <c:numRef>
              <c:f>Solver!$E$5:$E$19</c:f>
              <c:numCache>
                <c:formatCode>General</c:formatCode>
                <c:ptCount val="15"/>
                <c:pt idx="0">
                  <c:v>550</c:v>
                </c:pt>
                <c:pt idx="1">
                  <c:v>545</c:v>
                </c:pt>
                <c:pt idx="2">
                  <c:v>540</c:v>
                </c:pt>
                <c:pt idx="3">
                  <c:v>535</c:v>
                </c:pt>
                <c:pt idx="4">
                  <c:v>530</c:v>
                </c:pt>
                <c:pt idx="5">
                  <c:v>525</c:v>
                </c:pt>
                <c:pt idx="6">
                  <c:v>520</c:v>
                </c:pt>
                <c:pt idx="7">
                  <c:v>515</c:v>
                </c:pt>
                <c:pt idx="8">
                  <c:v>510</c:v>
                </c:pt>
                <c:pt idx="9">
                  <c:v>505</c:v>
                </c:pt>
                <c:pt idx="10">
                  <c:v>500</c:v>
                </c:pt>
                <c:pt idx="11">
                  <c:v>495</c:v>
                </c:pt>
                <c:pt idx="12">
                  <c:v>490</c:v>
                </c:pt>
                <c:pt idx="13">
                  <c:v>485</c:v>
                </c:pt>
                <c:pt idx="14">
                  <c:v>480</c:v>
                </c:pt>
              </c:numCache>
            </c:numRef>
          </c:xVal>
          <c:yVal>
            <c:numRef>
              <c:f>Solver!$F$50:$F$64</c:f>
              <c:numCache>
                <c:formatCode>0.000000</c:formatCode>
                <c:ptCount val="15"/>
                <c:pt idx="0">
                  <c:v>0.22562556849419041</c:v>
                </c:pt>
                <c:pt idx="1">
                  <c:v>0.24073673209138938</c:v>
                </c:pt>
                <c:pt idx="2">
                  <c:v>0.25815269431222787</c:v>
                </c:pt>
                <c:pt idx="3">
                  <c:v>0.27045963746144458</c:v>
                </c:pt>
                <c:pt idx="4">
                  <c:v>0.27783981222524962</c:v>
                </c:pt>
                <c:pt idx="5">
                  <c:v>0.28012731675673702</c:v>
                </c:pt>
                <c:pt idx="6">
                  <c:v>0.27876139293083457</c:v>
                </c:pt>
                <c:pt idx="7">
                  <c:v>0.27580188155205304</c:v>
                </c:pt>
                <c:pt idx="8">
                  <c:v>0.27089531703927339</c:v>
                </c:pt>
                <c:pt idx="9">
                  <c:v>0.26356426431051139</c:v>
                </c:pt>
                <c:pt idx="10">
                  <c:v>0.25342033346034148</c:v>
                </c:pt>
                <c:pt idx="11">
                  <c:v>0.24024719319007903</c:v>
                </c:pt>
                <c:pt idx="12">
                  <c:v>0.22375589376132482</c:v>
                </c:pt>
                <c:pt idx="13">
                  <c:v>0.20477764977036267</c:v>
                </c:pt>
                <c:pt idx="14">
                  <c:v>0.18449467796057972</c:v>
                </c:pt>
              </c:numCache>
            </c:numRef>
          </c:yVal>
          <c:smooth val="0"/>
          <c:extLst>
            <c:ext xmlns:c16="http://schemas.microsoft.com/office/drawing/2014/chart" uri="{C3380CC4-5D6E-409C-BE32-E72D297353CC}">
              <c16:uniqueId val="{00000001-CFF7-41DC-9735-4A766F19C867}"/>
            </c:ext>
          </c:extLst>
        </c:ser>
        <c:dLbls>
          <c:showLegendKey val="0"/>
          <c:showVal val="0"/>
          <c:showCatName val="0"/>
          <c:showSerName val="0"/>
          <c:showPercent val="0"/>
          <c:showBubbleSize val="0"/>
        </c:dLbls>
        <c:axId val="510060047"/>
        <c:axId val="510060527"/>
      </c:scatterChart>
      <c:valAx>
        <c:axId val="510060047"/>
        <c:scaling>
          <c:orientation val="minMax"/>
        </c:scaling>
        <c:delete val="0"/>
        <c:axPos val="b"/>
        <c:title>
          <c:tx>
            <c:strRef>
              <c:f>Solver!$E$4</c:f>
              <c:strCache>
                <c:ptCount val="1"/>
                <c:pt idx="0">
                  <c:v>λ (nm)</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a-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crossAx val="510060527"/>
        <c:crosses val="autoZero"/>
        <c:crossBetween val="midCat"/>
      </c:valAx>
      <c:valAx>
        <c:axId val="510060527"/>
        <c:scaling>
          <c:orientation val="minMax"/>
          <c:min val="0.150000000000000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Absorbància (u.a.)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a-ES"/>
            </a:p>
          </c:txPr>
        </c:title>
        <c:numFmt formatCode="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crossAx val="5100600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ca-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7.xml"/><Relationship Id="rId4" Type="http://schemas.openxmlformats.org/officeDocument/2006/relationships/chart" Target="../charts/chart3.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6.png"/><Relationship Id="rId7" Type="http://schemas.openxmlformats.org/officeDocument/2006/relationships/image" Target="../media/image7.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251460</xdr:colOff>
      <xdr:row>89</xdr:row>
      <xdr:rowOff>281940</xdr:rowOff>
    </xdr:from>
    <xdr:to>
      <xdr:col>1</xdr:col>
      <xdr:colOff>106680</xdr:colOff>
      <xdr:row>91</xdr:row>
      <xdr:rowOff>228600</xdr:rowOff>
    </xdr:to>
    <xdr:pic>
      <xdr:nvPicPr>
        <xdr:cNvPr id="6" name="Picture 5">
          <a:extLst>
            <a:ext uri="{FF2B5EF4-FFF2-40B4-BE49-F238E27FC236}">
              <a16:creationId xmlns:a16="http://schemas.microsoft.com/office/drawing/2014/main" id="{F8265133-BD79-956E-50AC-D6F74A1E0E4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1460" y="25336500"/>
          <a:ext cx="1813560" cy="52578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137160</xdr:colOff>
      <xdr:row>71</xdr:row>
      <xdr:rowOff>34290</xdr:rowOff>
    </xdr:from>
    <xdr:to>
      <xdr:col>10</xdr:col>
      <xdr:colOff>670560</xdr:colOff>
      <xdr:row>82</xdr:row>
      <xdr:rowOff>220980</xdr:rowOff>
    </xdr:to>
    <xdr:graphicFrame macro="">
      <xdr:nvGraphicFramePr>
        <xdr:cNvPr id="38" name="Chart 12">
          <a:extLst>
            <a:ext uri="{FF2B5EF4-FFF2-40B4-BE49-F238E27FC236}">
              <a16:creationId xmlns:a16="http://schemas.microsoft.com/office/drawing/2014/main" id="{025C54EA-13CA-F01B-876C-197644CFC2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166558</xdr:colOff>
      <xdr:row>230</xdr:row>
      <xdr:rowOff>249836</xdr:rowOff>
    </xdr:from>
    <xdr:to>
      <xdr:col>5</xdr:col>
      <xdr:colOff>1790492</xdr:colOff>
      <xdr:row>231</xdr:row>
      <xdr:rowOff>1394918</xdr:rowOff>
    </xdr:to>
    <xdr:graphicFrame macro="">
      <xdr:nvGraphicFramePr>
        <xdr:cNvPr id="17" name="Gráfico 11">
          <a:extLst>
            <a:ext uri="{FF2B5EF4-FFF2-40B4-BE49-F238E27FC236}">
              <a16:creationId xmlns:a16="http://schemas.microsoft.com/office/drawing/2014/main" id="{7B689AC0-F645-1CDD-1D56-B6B7A42A9F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53340</xdr:colOff>
      <xdr:row>71</xdr:row>
      <xdr:rowOff>45720</xdr:rowOff>
    </xdr:from>
    <xdr:to>
      <xdr:col>3</xdr:col>
      <xdr:colOff>1554480</xdr:colOff>
      <xdr:row>82</xdr:row>
      <xdr:rowOff>198120</xdr:rowOff>
    </xdr:to>
    <xdr:graphicFrame macro="">
      <xdr:nvGraphicFramePr>
        <xdr:cNvPr id="39" name="Chart 21">
          <a:extLst>
            <a:ext uri="{FF2B5EF4-FFF2-40B4-BE49-F238E27FC236}">
              <a16:creationId xmlns:a16="http://schemas.microsoft.com/office/drawing/2014/main" id="{A7C0E4CE-1DA7-4DE9-AE67-1E6E3D4DF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137464</xdr:colOff>
      <xdr:row>212</xdr:row>
      <xdr:rowOff>171542</xdr:rowOff>
    </xdr:from>
    <xdr:to>
      <xdr:col>3</xdr:col>
      <xdr:colOff>1765610</xdr:colOff>
      <xdr:row>223</xdr:row>
      <xdr:rowOff>216830</xdr:rowOff>
    </xdr:to>
    <xdr:graphicFrame macro="">
      <xdr:nvGraphicFramePr>
        <xdr:cNvPr id="19" name="Gráfico 11">
          <a:extLst>
            <a:ext uri="{FF2B5EF4-FFF2-40B4-BE49-F238E27FC236}">
              <a16:creationId xmlns:a16="http://schemas.microsoft.com/office/drawing/2014/main" id="{7C405E05-966C-BCB0-1588-1B5564E31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100992</xdr:colOff>
      <xdr:row>173</xdr:row>
      <xdr:rowOff>5172</xdr:rowOff>
    </xdr:from>
    <xdr:to>
      <xdr:col>3</xdr:col>
      <xdr:colOff>1734633</xdr:colOff>
      <xdr:row>184</xdr:row>
      <xdr:rowOff>185854</xdr:rowOff>
    </xdr:to>
    <xdr:graphicFrame macro="">
      <xdr:nvGraphicFramePr>
        <xdr:cNvPr id="20" name="Gráfico 11">
          <a:extLst>
            <a:ext uri="{FF2B5EF4-FFF2-40B4-BE49-F238E27FC236}">
              <a16:creationId xmlns:a16="http://schemas.microsoft.com/office/drawing/2014/main" id="{E8B01B86-B221-4A68-B893-A02237C6AA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85503</xdr:colOff>
      <xdr:row>134</xdr:row>
      <xdr:rowOff>113585</xdr:rowOff>
    </xdr:from>
    <xdr:to>
      <xdr:col>3</xdr:col>
      <xdr:colOff>1812073</xdr:colOff>
      <xdr:row>145</xdr:row>
      <xdr:rowOff>216829</xdr:rowOff>
    </xdr:to>
    <xdr:graphicFrame macro="">
      <xdr:nvGraphicFramePr>
        <xdr:cNvPr id="40" name="Gráfico 11">
          <a:extLst>
            <a:ext uri="{FF2B5EF4-FFF2-40B4-BE49-F238E27FC236}">
              <a16:creationId xmlns:a16="http://schemas.microsoft.com/office/drawing/2014/main" id="{61B0A963-03AC-6FCA-C0EE-8E413F639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487680</xdr:colOff>
      <xdr:row>141</xdr:row>
      <xdr:rowOff>106681</xdr:rowOff>
    </xdr:from>
    <xdr:to>
      <xdr:col>8</xdr:col>
      <xdr:colOff>474787</xdr:colOff>
      <xdr:row>143</xdr:row>
      <xdr:rowOff>14995</xdr:rowOff>
    </xdr:to>
    <xdr:pic>
      <xdr:nvPicPr>
        <xdr:cNvPr id="23" name="Picture 4">
          <a:extLst>
            <a:ext uri="{FF2B5EF4-FFF2-40B4-BE49-F238E27FC236}">
              <a16:creationId xmlns:a16="http://schemas.microsoft.com/office/drawing/2014/main" id="{2C9C43B4-FE01-CF43-9C36-117E96E3AFA3}"/>
            </a:ext>
          </a:extLst>
        </xdr:cNvPr>
        <xdr:cNvPicPr>
          <a:picLocks noChangeAspect="1"/>
        </xdr:cNvPicPr>
      </xdr:nvPicPr>
      <xdr:blipFill>
        <a:blip xmlns:r="http://schemas.openxmlformats.org/officeDocument/2006/relationships" r:embed="rId8"/>
        <a:stretch>
          <a:fillRect/>
        </a:stretch>
      </xdr:blipFill>
      <xdr:spPr>
        <a:xfrm>
          <a:off x="16121380" y="17404081"/>
          <a:ext cx="1841307" cy="492514"/>
        </a:xfrm>
        <a:prstGeom prst="rect">
          <a:avLst/>
        </a:prstGeom>
      </xdr:spPr>
    </xdr:pic>
    <xdr:clientData/>
  </xdr:twoCellAnchor>
  <xdr:twoCellAnchor editAs="oneCell">
    <xdr:from>
      <xdr:col>6</xdr:col>
      <xdr:colOff>557560</xdr:colOff>
      <xdr:row>147</xdr:row>
      <xdr:rowOff>61950</xdr:rowOff>
    </xdr:from>
    <xdr:to>
      <xdr:col>11</xdr:col>
      <xdr:colOff>13009</xdr:colOff>
      <xdr:row>151</xdr:row>
      <xdr:rowOff>625537</xdr:rowOff>
    </xdr:to>
    <xdr:pic>
      <xdr:nvPicPr>
        <xdr:cNvPr id="25" name="Imagen 24">
          <a:extLst>
            <a:ext uri="{FF2B5EF4-FFF2-40B4-BE49-F238E27FC236}">
              <a16:creationId xmlns:a16="http://schemas.microsoft.com/office/drawing/2014/main" id="{FE56B271-EEC7-5DA8-A62E-D23CAD7C1EB2}"/>
            </a:ext>
          </a:extLst>
        </xdr:cNvPr>
        <xdr:cNvPicPr>
          <a:picLocks noChangeAspect="1"/>
        </xdr:cNvPicPr>
      </xdr:nvPicPr>
      <xdr:blipFill>
        <a:blip xmlns:r="http://schemas.openxmlformats.org/officeDocument/2006/relationships" r:embed="rId9"/>
        <a:stretch>
          <a:fillRect/>
        </a:stretch>
      </xdr:blipFill>
      <xdr:spPr>
        <a:xfrm>
          <a:off x="12018536" y="42668901"/>
          <a:ext cx="7772400" cy="1570295"/>
        </a:xfrm>
        <a:prstGeom prst="rect">
          <a:avLst/>
        </a:prstGeom>
      </xdr:spPr>
    </xdr:pic>
    <xdr:clientData/>
  </xdr:twoCellAnchor>
  <xdr:oneCellAnchor>
    <xdr:from>
      <xdr:col>7</xdr:col>
      <xdr:colOff>487680</xdr:colOff>
      <xdr:row>180</xdr:row>
      <xdr:rowOff>106681</xdr:rowOff>
    </xdr:from>
    <xdr:ext cx="1840058" cy="491265"/>
    <xdr:pic>
      <xdr:nvPicPr>
        <xdr:cNvPr id="26" name="Picture 4">
          <a:extLst>
            <a:ext uri="{FF2B5EF4-FFF2-40B4-BE49-F238E27FC236}">
              <a16:creationId xmlns:a16="http://schemas.microsoft.com/office/drawing/2014/main" id="{DF8BD106-A650-D74E-AA83-ABB1EC1CD45D}"/>
            </a:ext>
          </a:extLst>
        </xdr:cNvPr>
        <xdr:cNvPicPr>
          <a:picLocks noChangeAspect="1"/>
        </xdr:cNvPicPr>
      </xdr:nvPicPr>
      <xdr:blipFill>
        <a:blip xmlns:r="http://schemas.openxmlformats.org/officeDocument/2006/relationships" r:embed="rId8"/>
        <a:stretch>
          <a:fillRect/>
        </a:stretch>
      </xdr:blipFill>
      <xdr:spPr>
        <a:xfrm>
          <a:off x="13770631" y="40621763"/>
          <a:ext cx="1840058" cy="491265"/>
        </a:xfrm>
        <a:prstGeom prst="rect">
          <a:avLst/>
        </a:prstGeom>
      </xdr:spPr>
    </xdr:pic>
    <xdr:clientData/>
  </xdr:oneCellAnchor>
  <xdr:oneCellAnchor>
    <xdr:from>
      <xdr:col>7</xdr:col>
      <xdr:colOff>487680</xdr:colOff>
      <xdr:row>219</xdr:row>
      <xdr:rowOff>106681</xdr:rowOff>
    </xdr:from>
    <xdr:ext cx="1840058" cy="491265"/>
    <xdr:pic>
      <xdr:nvPicPr>
        <xdr:cNvPr id="29" name="Picture 4">
          <a:extLst>
            <a:ext uri="{FF2B5EF4-FFF2-40B4-BE49-F238E27FC236}">
              <a16:creationId xmlns:a16="http://schemas.microsoft.com/office/drawing/2014/main" id="{BCC4264F-B3D8-7F47-8007-84813247F795}"/>
            </a:ext>
          </a:extLst>
        </xdr:cNvPr>
        <xdr:cNvPicPr>
          <a:picLocks noChangeAspect="1"/>
        </xdr:cNvPicPr>
      </xdr:nvPicPr>
      <xdr:blipFill>
        <a:blip xmlns:r="http://schemas.openxmlformats.org/officeDocument/2006/relationships" r:embed="rId8"/>
        <a:stretch>
          <a:fillRect/>
        </a:stretch>
      </xdr:blipFill>
      <xdr:spPr>
        <a:xfrm>
          <a:off x="13770631" y="52301599"/>
          <a:ext cx="1840058" cy="491265"/>
        </a:xfrm>
        <a:prstGeom prst="rect">
          <a:avLst/>
        </a:prstGeom>
      </xdr:spPr>
    </xdr:pic>
    <xdr:clientData/>
  </xdr:oneCellAnchor>
  <xdr:twoCellAnchor>
    <xdr:from>
      <xdr:col>12</xdr:col>
      <xdr:colOff>53340</xdr:colOff>
      <xdr:row>71</xdr:row>
      <xdr:rowOff>53340</xdr:rowOff>
    </xdr:from>
    <xdr:to>
      <xdr:col>17</xdr:col>
      <xdr:colOff>746760</xdr:colOff>
      <xdr:row>82</xdr:row>
      <xdr:rowOff>243840</xdr:rowOff>
    </xdr:to>
    <xdr:graphicFrame macro="">
      <xdr:nvGraphicFramePr>
        <xdr:cNvPr id="37" name="Chart 115">
          <a:extLst>
            <a:ext uri="{FF2B5EF4-FFF2-40B4-BE49-F238E27FC236}">
              <a16:creationId xmlns:a16="http://schemas.microsoft.com/office/drawing/2014/main" id="{6230572C-33DB-4BC0-9155-8E2CE4263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58615</xdr:colOff>
      <xdr:row>4</xdr:row>
      <xdr:rowOff>99646</xdr:rowOff>
    </xdr:from>
    <xdr:to>
      <xdr:col>18</xdr:col>
      <xdr:colOff>550749</xdr:colOff>
      <xdr:row>16</xdr:row>
      <xdr:rowOff>65086</xdr:rowOff>
    </xdr:to>
    <xdr:pic>
      <xdr:nvPicPr>
        <xdr:cNvPr id="2" name="Picture 1">
          <a:extLst>
            <a:ext uri="{FF2B5EF4-FFF2-40B4-BE49-F238E27FC236}">
              <a16:creationId xmlns:a16="http://schemas.microsoft.com/office/drawing/2014/main" id="{6F452754-AC97-9CE4-75AF-DC0F33941979}"/>
            </a:ext>
          </a:extLst>
        </xdr:cNvPr>
        <xdr:cNvPicPr>
          <a:picLocks noChangeAspect="1"/>
        </xdr:cNvPicPr>
      </xdr:nvPicPr>
      <xdr:blipFill rotWithShape="1">
        <a:blip xmlns:r="http://schemas.openxmlformats.org/officeDocument/2006/relationships" r:embed="rId1"/>
        <a:srcRect l="35174"/>
        <a:stretch/>
      </xdr:blipFill>
      <xdr:spPr>
        <a:xfrm>
          <a:off x="9208477" y="826477"/>
          <a:ext cx="3510826" cy="2145932"/>
        </a:xfrm>
        <a:prstGeom prst="rect">
          <a:avLst/>
        </a:prstGeom>
      </xdr:spPr>
    </xdr:pic>
    <xdr:clientData/>
  </xdr:twoCellAnchor>
  <xdr:twoCellAnchor editAs="oneCell">
    <xdr:from>
      <xdr:col>13</xdr:col>
      <xdr:colOff>87923</xdr:colOff>
      <xdr:row>26</xdr:row>
      <xdr:rowOff>142436</xdr:rowOff>
    </xdr:from>
    <xdr:to>
      <xdr:col>18</xdr:col>
      <xdr:colOff>588849</xdr:colOff>
      <xdr:row>38</xdr:row>
      <xdr:rowOff>66860</xdr:rowOff>
    </xdr:to>
    <xdr:pic>
      <xdr:nvPicPr>
        <xdr:cNvPr id="3" name="Picture 2">
          <a:extLst>
            <a:ext uri="{FF2B5EF4-FFF2-40B4-BE49-F238E27FC236}">
              <a16:creationId xmlns:a16="http://schemas.microsoft.com/office/drawing/2014/main" id="{D07498C8-AA5F-62E6-CF28-0AE7494CB5A0}"/>
            </a:ext>
          </a:extLst>
        </xdr:cNvPr>
        <xdr:cNvPicPr>
          <a:picLocks noChangeAspect="1"/>
        </xdr:cNvPicPr>
      </xdr:nvPicPr>
      <xdr:blipFill rotWithShape="1">
        <a:blip xmlns:r="http://schemas.openxmlformats.org/officeDocument/2006/relationships" r:embed="rId2"/>
        <a:srcRect l="35013"/>
        <a:stretch/>
      </xdr:blipFill>
      <xdr:spPr>
        <a:xfrm>
          <a:off x="9237785" y="4878559"/>
          <a:ext cx="3519618" cy="2104916"/>
        </a:xfrm>
        <a:prstGeom prst="rect">
          <a:avLst/>
        </a:prstGeom>
      </xdr:spPr>
    </xdr:pic>
    <xdr:clientData/>
  </xdr:twoCellAnchor>
  <xdr:twoCellAnchor editAs="oneCell">
    <xdr:from>
      <xdr:col>13</xdr:col>
      <xdr:colOff>93783</xdr:colOff>
      <xdr:row>50</xdr:row>
      <xdr:rowOff>10551</xdr:rowOff>
    </xdr:from>
    <xdr:to>
      <xdr:col>18</xdr:col>
      <xdr:colOff>591778</xdr:colOff>
      <xdr:row>61</xdr:row>
      <xdr:rowOff>68872</xdr:rowOff>
    </xdr:to>
    <xdr:pic>
      <xdr:nvPicPr>
        <xdr:cNvPr id="6" name="Picture 5">
          <a:extLst>
            <a:ext uri="{FF2B5EF4-FFF2-40B4-BE49-F238E27FC236}">
              <a16:creationId xmlns:a16="http://schemas.microsoft.com/office/drawing/2014/main" id="{FA749AAC-3C38-1295-596A-353ABCC16D70}"/>
            </a:ext>
          </a:extLst>
        </xdr:cNvPr>
        <xdr:cNvPicPr>
          <a:picLocks noChangeAspect="1"/>
        </xdr:cNvPicPr>
      </xdr:nvPicPr>
      <xdr:blipFill rotWithShape="1">
        <a:blip xmlns:r="http://schemas.openxmlformats.org/officeDocument/2006/relationships" r:embed="rId3"/>
        <a:srcRect l="35067"/>
        <a:stretch/>
      </xdr:blipFill>
      <xdr:spPr>
        <a:xfrm>
          <a:off x="9243645" y="9119382"/>
          <a:ext cx="3516687" cy="2057105"/>
        </a:xfrm>
        <a:prstGeom prst="rect">
          <a:avLst/>
        </a:prstGeom>
      </xdr:spPr>
    </xdr:pic>
    <xdr:clientData/>
  </xdr:twoCellAnchor>
  <xdr:twoCellAnchor>
    <xdr:from>
      <xdr:col>20</xdr:col>
      <xdr:colOff>337455</xdr:colOff>
      <xdr:row>13</xdr:row>
      <xdr:rowOff>39188</xdr:rowOff>
    </xdr:from>
    <xdr:to>
      <xdr:col>28</xdr:col>
      <xdr:colOff>163284</xdr:colOff>
      <xdr:row>25</xdr:row>
      <xdr:rowOff>32657</xdr:rowOff>
    </xdr:to>
    <xdr:graphicFrame macro="">
      <xdr:nvGraphicFramePr>
        <xdr:cNvPr id="5" name="Chart 4">
          <a:extLst>
            <a:ext uri="{FF2B5EF4-FFF2-40B4-BE49-F238E27FC236}">
              <a16:creationId xmlns:a16="http://schemas.microsoft.com/office/drawing/2014/main" id="{0D3324C0-5A87-58F0-D0FA-81941AFB0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337458</xdr:colOff>
      <xdr:row>36</xdr:row>
      <xdr:rowOff>65313</xdr:rowOff>
    </xdr:from>
    <xdr:to>
      <xdr:col>31</xdr:col>
      <xdr:colOff>261257</xdr:colOff>
      <xdr:row>46</xdr:row>
      <xdr:rowOff>21772</xdr:rowOff>
    </xdr:to>
    <xdr:graphicFrame macro="">
      <xdr:nvGraphicFramePr>
        <xdr:cNvPr id="7" name="Chart 6">
          <a:extLst>
            <a:ext uri="{FF2B5EF4-FFF2-40B4-BE49-F238E27FC236}">
              <a16:creationId xmlns:a16="http://schemas.microsoft.com/office/drawing/2014/main" id="{43B523CB-2448-456B-A6FE-4A915C98A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391886</xdr:colOff>
      <xdr:row>65</xdr:row>
      <xdr:rowOff>76200</xdr:rowOff>
    </xdr:from>
    <xdr:to>
      <xdr:col>31</xdr:col>
      <xdr:colOff>348343</xdr:colOff>
      <xdr:row>82</xdr:row>
      <xdr:rowOff>174172</xdr:rowOff>
    </xdr:to>
    <xdr:graphicFrame macro="">
      <xdr:nvGraphicFramePr>
        <xdr:cNvPr id="8" name="Chart 7">
          <a:extLst>
            <a:ext uri="{FF2B5EF4-FFF2-40B4-BE49-F238E27FC236}">
              <a16:creationId xmlns:a16="http://schemas.microsoft.com/office/drawing/2014/main" id="{F9DB43C4-1B88-4D95-801B-676A81E99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359229</xdr:colOff>
      <xdr:row>0</xdr:row>
      <xdr:rowOff>163285</xdr:rowOff>
    </xdr:from>
    <xdr:to>
      <xdr:col>28</xdr:col>
      <xdr:colOff>196780</xdr:colOff>
      <xdr:row>12</xdr:row>
      <xdr:rowOff>173928</xdr:rowOff>
    </xdr:to>
    <xdr:pic>
      <xdr:nvPicPr>
        <xdr:cNvPr id="10" name="Picture 9">
          <a:extLst>
            <a:ext uri="{FF2B5EF4-FFF2-40B4-BE49-F238E27FC236}">
              <a16:creationId xmlns:a16="http://schemas.microsoft.com/office/drawing/2014/main" id="{AB1770AF-042E-75CE-0EE8-0D23361A12BD}"/>
            </a:ext>
          </a:extLst>
        </xdr:cNvPr>
        <xdr:cNvPicPr>
          <a:picLocks noChangeAspect="1"/>
        </xdr:cNvPicPr>
      </xdr:nvPicPr>
      <xdr:blipFill>
        <a:blip xmlns:r="http://schemas.openxmlformats.org/officeDocument/2006/relationships" r:embed="rId7"/>
        <a:stretch>
          <a:fillRect/>
        </a:stretch>
      </xdr:blipFill>
      <xdr:spPr>
        <a:xfrm>
          <a:off x="13661572" y="163285"/>
          <a:ext cx="4627265" cy="2231329"/>
        </a:xfrm>
        <a:prstGeom prst="rect">
          <a:avLst/>
        </a:prstGeom>
      </xdr:spPr>
    </xdr:pic>
    <xdr:clientData/>
  </xdr:twoCellAnchor>
  <xdr:twoCellAnchor editAs="oneCell">
    <xdr:from>
      <xdr:col>20</xdr:col>
      <xdr:colOff>326572</xdr:colOff>
      <xdr:row>26</xdr:row>
      <xdr:rowOff>21772</xdr:rowOff>
    </xdr:from>
    <xdr:to>
      <xdr:col>31</xdr:col>
      <xdr:colOff>257904</xdr:colOff>
      <xdr:row>36</xdr:row>
      <xdr:rowOff>159</xdr:rowOff>
    </xdr:to>
    <xdr:pic>
      <xdr:nvPicPr>
        <xdr:cNvPr id="14" name="Picture 13">
          <a:extLst>
            <a:ext uri="{FF2B5EF4-FFF2-40B4-BE49-F238E27FC236}">
              <a16:creationId xmlns:a16="http://schemas.microsoft.com/office/drawing/2014/main" id="{9FE2CCEA-425F-5AAE-7CEE-62E0869A6788}"/>
            </a:ext>
          </a:extLst>
        </xdr:cNvPr>
        <xdr:cNvPicPr>
          <a:picLocks noChangeAspect="1"/>
        </xdr:cNvPicPr>
      </xdr:nvPicPr>
      <xdr:blipFill>
        <a:blip xmlns:r="http://schemas.openxmlformats.org/officeDocument/2006/relationships" r:embed="rId8"/>
        <a:stretch>
          <a:fillRect/>
        </a:stretch>
      </xdr:blipFill>
      <xdr:spPr>
        <a:xfrm>
          <a:off x="13628915" y="4844143"/>
          <a:ext cx="6517189" cy="1828959"/>
        </a:xfrm>
        <a:prstGeom prst="rect">
          <a:avLst/>
        </a:prstGeom>
      </xdr:spPr>
    </xdr:pic>
    <xdr:clientData/>
  </xdr:twoCellAnchor>
  <xdr:twoCellAnchor editAs="oneCell">
    <xdr:from>
      <xdr:col>20</xdr:col>
      <xdr:colOff>413657</xdr:colOff>
      <xdr:row>47</xdr:row>
      <xdr:rowOff>119743</xdr:rowOff>
    </xdr:from>
    <xdr:to>
      <xdr:col>31</xdr:col>
      <xdr:colOff>387665</xdr:colOff>
      <xdr:row>65</xdr:row>
      <xdr:rowOff>33375</xdr:rowOff>
    </xdr:to>
    <xdr:pic>
      <xdr:nvPicPr>
        <xdr:cNvPr id="16" name="Picture 15">
          <a:extLst>
            <a:ext uri="{FF2B5EF4-FFF2-40B4-BE49-F238E27FC236}">
              <a16:creationId xmlns:a16="http://schemas.microsoft.com/office/drawing/2014/main" id="{33C63F9D-8B3A-712C-10C9-3864741239AE}"/>
            </a:ext>
          </a:extLst>
        </xdr:cNvPr>
        <xdr:cNvPicPr>
          <a:picLocks noChangeAspect="1"/>
        </xdr:cNvPicPr>
      </xdr:nvPicPr>
      <xdr:blipFill>
        <a:blip xmlns:r="http://schemas.openxmlformats.org/officeDocument/2006/relationships" r:embed="rId9"/>
        <a:stretch>
          <a:fillRect/>
        </a:stretch>
      </xdr:blipFill>
      <xdr:spPr>
        <a:xfrm>
          <a:off x="13716000" y="8839200"/>
          <a:ext cx="6559865" cy="325554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08C8-5267-41A1-8A30-44F36ECBD8D8}">
  <dimension ref="A1:R267"/>
  <sheetViews>
    <sheetView showGridLines="0" tabSelected="1" topLeftCell="A232" zoomScale="85" zoomScaleNormal="70" workbookViewId="0">
      <selection activeCell="B236" sqref="B236"/>
    </sheetView>
  </sheetViews>
  <sheetFormatPr baseColWidth="10" defaultColWidth="11.5" defaultRowHeight="23.25" customHeight="1" x14ac:dyDescent="0.2"/>
  <cols>
    <col min="1" max="1" width="28.5" style="2" customWidth="1"/>
    <col min="2" max="3" width="27" style="2" customWidth="1"/>
    <col min="4" max="10" width="24.33203125" style="2" customWidth="1"/>
    <col min="11" max="16384" width="11.5" style="2"/>
  </cols>
  <sheetData>
    <row r="1" spans="1:6" ht="21" customHeight="1" x14ac:dyDescent="0.2">
      <c r="A1" s="3" t="s">
        <v>7</v>
      </c>
      <c r="E1" s="4" t="s">
        <v>0</v>
      </c>
      <c r="F1" s="50">
        <v>45776</v>
      </c>
    </row>
    <row r="2" spans="1:6" s="5" customFormat="1" ht="15" customHeight="1" x14ac:dyDescent="0.2">
      <c r="A2" s="4" t="s">
        <v>1</v>
      </c>
      <c r="B2" s="49" t="s">
        <v>60</v>
      </c>
      <c r="E2" s="4" t="s">
        <v>2</v>
      </c>
      <c r="F2" s="49" t="s">
        <v>62</v>
      </c>
    </row>
    <row r="3" spans="1:6" s="5" customFormat="1" ht="15" customHeight="1" x14ac:dyDescent="0.2">
      <c r="A3" s="4" t="s">
        <v>3</v>
      </c>
      <c r="B3" s="49" t="s">
        <v>61</v>
      </c>
    </row>
    <row r="4" spans="1:6" s="5" customFormat="1" ht="15" customHeight="1" x14ac:dyDescent="0.2">
      <c r="A4" s="4"/>
    </row>
    <row r="5" spans="1:6" s="5" customFormat="1" ht="15" customHeight="1" x14ac:dyDescent="0.2">
      <c r="A5" s="4" t="s">
        <v>32</v>
      </c>
    </row>
    <row r="6" spans="1:6" ht="15" customHeight="1" x14ac:dyDescent="0.2">
      <c r="A6" s="125" t="s">
        <v>74</v>
      </c>
      <c r="B6" s="126"/>
      <c r="C6" s="126"/>
      <c r="D6" s="126"/>
    </row>
    <row r="7" spans="1:6" ht="15" customHeight="1" x14ac:dyDescent="0.2">
      <c r="A7" s="126"/>
      <c r="B7" s="126"/>
      <c r="C7" s="126"/>
      <c r="D7" s="126"/>
    </row>
    <row r="8" spans="1:6" ht="15" customHeight="1" x14ac:dyDescent="0.2">
      <c r="A8" s="126"/>
      <c r="B8" s="126"/>
      <c r="C8" s="126"/>
      <c r="D8" s="126"/>
    </row>
    <row r="9" spans="1:6" ht="23.25" customHeight="1" x14ac:dyDescent="0.2">
      <c r="A9" s="4" t="s">
        <v>33</v>
      </c>
    </row>
    <row r="10" spans="1:6" ht="23.25" customHeight="1" x14ac:dyDescent="0.2">
      <c r="A10" s="125" t="s">
        <v>69</v>
      </c>
      <c r="B10" s="125"/>
      <c r="C10" s="125"/>
      <c r="D10" s="125"/>
    </row>
    <row r="11" spans="1:6" ht="23.25" customHeight="1" x14ac:dyDescent="0.2">
      <c r="A11" s="125"/>
      <c r="B11" s="125"/>
      <c r="C11" s="125"/>
      <c r="D11" s="125"/>
    </row>
    <row r="12" spans="1:6" ht="23.25" customHeight="1" x14ac:dyDescent="0.2">
      <c r="A12" s="125"/>
      <c r="B12" s="125"/>
      <c r="C12" s="125"/>
      <c r="D12" s="125"/>
    </row>
    <row r="13" spans="1:6" ht="23.25" customHeight="1" x14ac:dyDescent="0.2">
      <c r="A13" s="125"/>
      <c r="B13" s="125"/>
      <c r="C13" s="125"/>
      <c r="D13" s="125"/>
    </row>
    <row r="14" spans="1:6" ht="23.25" customHeight="1" x14ac:dyDescent="0.2">
      <c r="A14" s="125"/>
      <c r="B14" s="125"/>
      <c r="C14" s="125"/>
      <c r="D14" s="125"/>
    </row>
    <row r="15" spans="1:6" ht="23.25" customHeight="1" x14ac:dyDescent="0.2">
      <c r="A15" s="125"/>
      <c r="B15" s="125"/>
      <c r="C15" s="125"/>
      <c r="D15" s="125"/>
    </row>
    <row r="17" spans="1:4" ht="23.25" customHeight="1" x14ac:dyDescent="0.2">
      <c r="A17" s="4" t="s">
        <v>34</v>
      </c>
      <c r="B17" s="131" t="s">
        <v>75</v>
      </c>
      <c r="C17" s="132"/>
      <c r="D17" s="132"/>
    </row>
    <row r="18" spans="1:4" ht="23.25" customHeight="1" x14ac:dyDescent="0.2">
      <c r="B18" s="131"/>
      <c r="C18" s="132"/>
      <c r="D18" s="132"/>
    </row>
    <row r="19" spans="1:4" ht="23.25" customHeight="1" x14ac:dyDescent="0.2">
      <c r="A19" s="1" t="s">
        <v>8</v>
      </c>
      <c r="B19" s="1" t="s">
        <v>67</v>
      </c>
      <c r="C19" s="1" t="s">
        <v>12</v>
      </c>
    </row>
    <row r="20" spans="1:4" ht="23.25" customHeight="1" x14ac:dyDescent="0.2">
      <c r="A20" s="1" t="s">
        <v>14</v>
      </c>
      <c r="B20" s="1" t="s">
        <v>67</v>
      </c>
      <c r="C20" s="1" t="s">
        <v>12</v>
      </c>
    </row>
    <row r="22" spans="1:4" ht="23.25" customHeight="1" x14ac:dyDescent="0.2">
      <c r="A22" s="1" t="s">
        <v>13</v>
      </c>
      <c r="B22" s="7" t="s">
        <v>15</v>
      </c>
      <c r="C22" s="7" t="s">
        <v>4</v>
      </c>
    </row>
    <row r="23" spans="1:4" ht="23.25" customHeight="1" x14ac:dyDescent="0.2">
      <c r="A23" s="1" t="s">
        <v>9</v>
      </c>
      <c r="B23" s="1" t="s">
        <v>67</v>
      </c>
      <c r="C23" s="1" t="s">
        <v>67</v>
      </c>
    </row>
    <row r="24" spans="1:4" ht="23.25" customHeight="1" x14ac:dyDescent="0.2">
      <c r="A24" s="1" t="s">
        <v>10</v>
      </c>
      <c r="B24" s="1" t="s">
        <v>67</v>
      </c>
      <c r="C24" s="1" t="s">
        <v>67</v>
      </c>
    </row>
    <row r="25" spans="1:4" ht="23.25" customHeight="1" x14ac:dyDescent="0.2">
      <c r="A25" s="1" t="s">
        <v>11</v>
      </c>
      <c r="B25" s="1" t="s">
        <v>67</v>
      </c>
      <c r="C25" s="1" t="s">
        <v>67</v>
      </c>
    </row>
    <row r="26" spans="1:4" ht="23.25" customHeight="1" x14ac:dyDescent="0.2">
      <c r="B26" s="17"/>
      <c r="C26" s="17"/>
      <c r="D26" s="17"/>
    </row>
    <row r="27" spans="1:4" ht="23.25" customHeight="1" x14ac:dyDescent="0.2">
      <c r="A27" s="4" t="s">
        <v>35</v>
      </c>
    </row>
    <row r="29" spans="1:4" ht="23.25" customHeight="1" x14ac:dyDescent="0.2">
      <c r="A29" s="1" t="s">
        <v>8</v>
      </c>
      <c r="B29" s="1" t="s">
        <v>67</v>
      </c>
      <c r="C29" s="1" t="s">
        <v>12</v>
      </c>
    </row>
    <row r="30" spans="1:4" ht="23.25" customHeight="1" x14ac:dyDescent="0.2">
      <c r="A30" s="1" t="s">
        <v>14</v>
      </c>
      <c r="B30" s="1" t="s">
        <v>67</v>
      </c>
      <c r="C30" s="1" t="s">
        <v>12</v>
      </c>
    </row>
    <row r="32" spans="1:4" ht="23.25" customHeight="1" x14ac:dyDescent="0.2">
      <c r="A32" s="1" t="s">
        <v>16</v>
      </c>
      <c r="B32" s="7" t="s">
        <v>17</v>
      </c>
      <c r="C32" s="7" t="s">
        <v>4</v>
      </c>
    </row>
    <row r="33" spans="1:5" ht="23.25" customHeight="1" x14ac:dyDescent="0.2">
      <c r="A33" s="1" t="s">
        <v>9</v>
      </c>
      <c r="B33" s="1" t="s">
        <v>67</v>
      </c>
      <c r="C33" s="1" t="s">
        <v>67</v>
      </c>
    </row>
    <row r="34" spans="1:5" ht="23.25" customHeight="1" x14ac:dyDescent="0.2">
      <c r="A34" s="1" t="s">
        <v>10</v>
      </c>
      <c r="B34" s="1" t="s">
        <v>67</v>
      </c>
      <c r="C34" s="1" t="s">
        <v>67</v>
      </c>
    </row>
    <row r="35" spans="1:5" ht="23.25" customHeight="1" x14ac:dyDescent="0.2">
      <c r="A35" s="1" t="s">
        <v>11</v>
      </c>
      <c r="B35" s="1" t="s">
        <v>67</v>
      </c>
      <c r="C35" s="1" t="s">
        <v>67</v>
      </c>
    </row>
    <row r="36" spans="1:5" ht="23.25" customHeight="1" x14ac:dyDescent="0.2">
      <c r="B36" s="17"/>
      <c r="C36" s="17"/>
    </row>
    <row r="37" spans="1:5" ht="23.25" customHeight="1" x14ac:dyDescent="0.2">
      <c r="B37" s="17"/>
      <c r="C37" s="17"/>
    </row>
    <row r="38" spans="1:5" ht="23.25" customHeight="1" x14ac:dyDescent="0.2">
      <c r="A38" s="4" t="s">
        <v>36</v>
      </c>
    </row>
    <row r="40" spans="1:5" ht="23.25" customHeight="1" x14ac:dyDescent="0.2">
      <c r="A40" s="7" t="s">
        <v>23</v>
      </c>
      <c r="B40" s="1" t="s">
        <v>67</v>
      </c>
      <c r="C40" s="1" t="s">
        <v>12</v>
      </c>
    </row>
    <row r="41" spans="1:5" ht="23.25" customHeight="1" x14ac:dyDescent="0.2">
      <c r="A41" s="7" t="s">
        <v>24</v>
      </c>
      <c r="B41" s="1" t="s">
        <v>67</v>
      </c>
      <c r="C41" s="1" t="s">
        <v>12</v>
      </c>
    </row>
    <row r="43" spans="1:5" ht="23.25" customHeight="1" x14ac:dyDescent="0.2">
      <c r="A43" s="1" t="s">
        <v>19</v>
      </c>
      <c r="B43" s="7" t="s">
        <v>26</v>
      </c>
      <c r="C43" s="7" t="s">
        <v>4</v>
      </c>
      <c r="D43" s="7" t="s">
        <v>25</v>
      </c>
      <c r="E43" s="7" t="s">
        <v>4</v>
      </c>
    </row>
    <row r="44" spans="1:5" ht="23.25" customHeight="1" x14ac:dyDescent="0.2">
      <c r="A44" s="1" t="s">
        <v>20</v>
      </c>
      <c r="B44" s="1" t="s">
        <v>67</v>
      </c>
      <c r="C44" s="1" t="s">
        <v>67</v>
      </c>
      <c r="D44" s="1" t="s">
        <v>67</v>
      </c>
      <c r="E44" s="1" t="s">
        <v>67</v>
      </c>
    </row>
    <row r="45" spans="1:5" ht="23.25" customHeight="1" x14ac:dyDescent="0.2">
      <c r="A45" s="1" t="s">
        <v>21</v>
      </c>
      <c r="B45" s="1" t="s">
        <v>67</v>
      </c>
      <c r="C45" s="1" t="s">
        <v>67</v>
      </c>
      <c r="D45" s="1" t="s">
        <v>67</v>
      </c>
      <c r="E45" s="1" t="s">
        <v>67</v>
      </c>
    </row>
    <row r="46" spans="1:5" ht="23.25" customHeight="1" x14ac:dyDescent="0.2">
      <c r="A46" s="1" t="s">
        <v>22</v>
      </c>
      <c r="B46" s="1" t="s">
        <v>67</v>
      </c>
      <c r="C46" s="1" t="s">
        <v>67</v>
      </c>
      <c r="D46" s="1" t="s">
        <v>67</v>
      </c>
      <c r="E46" s="1" t="s">
        <v>67</v>
      </c>
    </row>
    <row r="47" spans="1:5" ht="23.25" customHeight="1" x14ac:dyDescent="0.2">
      <c r="B47" s="17"/>
      <c r="C47" s="17"/>
    </row>
    <row r="48" spans="1:5" ht="23.25" customHeight="1" x14ac:dyDescent="0.2">
      <c r="B48" s="17"/>
      <c r="C48" s="17"/>
    </row>
    <row r="49" spans="1:12" ht="38" customHeight="1" x14ac:dyDescent="0.2">
      <c r="A49" s="4" t="s">
        <v>37</v>
      </c>
      <c r="D49" s="53"/>
    </row>
    <row r="50" spans="1:12" ht="22.75" customHeight="1" x14ac:dyDescent="0.2">
      <c r="A50" s="4"/>
    </row>
    <row r="51" spans="1:12" ht="23.25" customHeight="1" x14ac:dyDescent="0.2">
      <c r="B51" s="116" t="s">
        <v>28</v>
      </c>
      <c r="C51" s="117"/>
      <c r="D51" s="118"/>
      <c r="E51" s="116" t="s">
        <v>29</v>
      </c>
      <c r="F51" s="117"/>
      <c r="G51" s="118"/>
      <c r="H51" s="116" t="s">
        <v>114</v>
      </c>
      <c r="I51" s="117"/>
      <c r="J51" s="118"/>
    </row>
    <row r="52" spans="1:12" ht="23.25" customHeight="1" thickBot="1" x14ac:dyDescent="0.25">
      <c r="A52" s="7" t="s">
        <v>27</v>
      </c>
      <c r="B52" s="7">
        <v>0.3</v>
      </c>
      <c r="C52" s="7">
        <v>0.4</v>
      </c>
      <c r="D52" s="7">
        <v>0.5</v>
      </c>
      <c r="E52" s="7">
        <v>0.3</v>
      </c>
      <c r="F52" s="7">
        <v>0.4</v>
      </c>
      <c r="G52" s="7">
        <v>0.5</v>
      </c>
      <c r="H52" s="7" t="s">
        <v>76</v>
      </c>
      <c r="I52" s="7" t="s">
        <v>77</v>
      </c>
      <c r="J52" s="7" t="s">
        <v>91</v>
      </c>
    </row>
    <row r="53" spans="1:12" ht="23.25" customHeight="1" x14ac:dyDescent="0.2">
      <c r="A53" s="25">
        <v>550</v>
      </c>
      <c r="B53" s="30">
        <v>0.112216</v>
      </c>
      <c r="C53" s="31">
        <v>0.149505</v>
      </c>
      <c r="D53" s="32">
        <v>0.19617200000000001</v>
      </c>
      <c r="E53" s="33">
        <v>0.107048</v>
      </c>
      <c r="F53" s="34">
        <v>0.13974900000000001</v>
      </c>
      <c r="G53" s="35">
        <v>0.18595200000000001</v>
      </c>
      <c r="H53" s="35">
        <v>0.22475500000000001</v>
      </c>
      <c r="I53" s="34">
        <v>0.297182</v>
      </c>
      <c r="J53" s="33">
        <v>0.22112399999999999</v>
      </c>
      <c r="L53" s="81"/>
    </row>
    <row r="54" spans="1:12" ht="23.25" customHeight="1" x14ac:dyDescent="0.2">
      <c r="A54" s="26">
        <v>545</v>
      </c>
      <c r="B54" s="36">
        <v>0.117358</v>
      </c>
      <c r="C54" s="37">
        <v>0.15624099999999999</v>
      </c>
      <c r="D54" s="38">
        <v>0.20519699999999999</v>
      </c>
      <c r="E54" s="39">
        <v>0.119768</v>
      </c>
      <c r="F54" s="40">
        <v>0.159388</v>
      </c>
      <c r="G54" s="41">
        <v>0.213056</v>
      </c>
      <c r="H54" s="41">
        <v>0.242007</v>
      </c>
      <c r="I54" s="40">
        <v>0.326104</v>
      </c>
      <c r="J54" s="39">
        <v>0.245724</v>
      </c>
      <c r="L54" s="81"/>
    </row>
    <row r="55" spans="1:12" ht="23.25" customHeight="1" x14ac:dyDescent="0.2">
      <c r="A55" s="26">
        <v>540</v>
      </c>
      <c r="B55" s="36">
        <v>0.12113500000000001</v>
      </c>
      <c r="C55" s="37">
        <v>0.16098299999999999</v>
      </c>
      <c r="D55" s="38">
        <v>0.21157000000000001</v>
      </c>
      <c r="E55" s="39">
        <v>0.133105</v>
      </c>
      <c r="F55" s="40">
        <v>0.17990900000000001</v>
      </c>
      <c r="G55" s="41">
        <v>0.24143700000000001</v>
      </c>
      <c r="H55" s="41">
        <v>0.257577</v>
      </c>
      <c r="I55" s="40">
        <v>0.35388999999999998</v>
      </c>
      <c r="J55" s="39">
        <v>0.27023000000000003</v>
      </c>
      <c r="L55" s="81"/>
    </row>
    <row r="56" spans="1:12" ht="23.25" customHeight="1" x14ac:dyDescent="0.2">
      <c r="A56" s="26">
        <v>535</v>
      </c>
      <c r="B56" s="36">
        <v>0.12378</v>
      </c>
      <c r="C56" s="37">
        <v>0.164272</v>
      </c>
      <c r="D56" s="38">
        <v>0.21613499999999999</v>
      </c>
      <c r="E56" s="39">
        <v>0.14415500000000001</v>
      </c>
      <c r="F56" s="40">
        <v>0.197072</v>
      </c>
      <c r="G56" s="41">
        <v>0.26519500000000001</v>
      </c>
      <c r="H56" s="41">
        <v>0.27008300000000002</v>
      </c>
      <c r="I56" s="40">
        <v>0.37645499999999998</v>
      </c>
      <c r="J56" s="39">
        <v>0.29030800000000001</v>
      </c>
      <c r="L56" s="81"/>
    </row>
    <row r="57" spans="1:12" ht="23.25" customHeight="1" x14ac:dyDescent="0.2">
      <c r="A57" s="26">
        <v>530</v>
      </c>
      <c r="B57" s="36">
        <v>0.12576100000000001</v>
      </c>
      <c r="C57" s="37">
        <v>0.166382</v>
      </c>
      <c r="D57" s="38">
        <v>0.21912499999999999</v>
      </c>
      <c r="E57" s="39">
        <v>0.15001</v>
      </c>
      <c r="F57" s="40">
        <v>0.20691499999999999</v>
      </c>
      <c r="G57" s="41">
        <v>0.27923199999999998</v>
      </c>
      <c r="H57" s="41">
        <v>0.27764899999999998</v>
      </c>
      <c r="I57" s="40">
        <v>0.39011699999999999</v>
      </c>
      <c r="J57" s="39">
        <v>0.30221599999999998</v>
      </c>
      <c r="L57" s="81"/>
    </row>
    <row r="58" spans="1:12" ht="23.25" customHeight="1" x14ac:dyDescent="0.2">
      <c r="A58" s="26">
        <v>525</v>
      </c>
      <c r="B58" s="36">
        <v>0.12676799999999999</v>
      </c>
      <c r="C58" s="37">
        <v>0.167188</v>
      </c>
      <c r="D58" s="38">
        <v>0.22017100000000001</v>
      </c>
      <c r="E58" s="39">
        <v>0.15082599999999999</v>
      </c>
      <c r="F58" s="40">
        <v>0.20959</v>
      </c>
      <c r="G58" s="41">
        <v>0.283885</v>
      </c>
      <c r="H58" s="41">
        <v>0.28016999999999997</v>
      </c>
      <c r="I58" s="40">
        <v>0.39472099999999999</v>
      </c>
      <c r="J58" s="39">
        <v>0.30606499999999998</v>
      </c>
      <c r="L58" s="81"/>
    </row>
    <row r="59" spans="1:12" ht="23.25" customHeight="1" x14ac:dyDescent="0.2">
      <c r="A59" s="26">
        <v>520</v>
      </c>
      <c r="B59" s="36">
        <v>0.12621299999999999</v>
      </c>
      <c r="C59" s="37">
        <v>0.16588</v>
      </c>
      <c r="D59" s="38">
        <v>0.21834500000000001</v>
      </c>
      <c r="E59" s="39">
        <v>0.14934500000000001</v>
      </c>
      <c r="F59" s="40">
        <v>0.209483</v>
      </c>
      <c r="G59" s="41">
        <v>0.28499999999999998</v>
      </c>
      <c r="H59" s="41">
        <v>0.27915899999999999</v>
      </c>
      <c r="I59" s="40">
        <v>0.39447599999999999</v>
      </c>
      <c r="J59" s="39">
        <v>0.30602099999999999</v>
      </c>
      <c r="L59" s="81"/>
    </row>
    <row r="60" spans="1:12" ht="23.25" customHeight="1" x14ac:dyDescent="0.2">
      <c r="A60" s="26">
        <v>515</v>
      </c>
      <c r="B60" s="36">
        <v>0.124223</v>
      </c>
      <c r="C60" s="37">
        <v>0.16248899999999999</v>
      </c>
      <c r="D60" s="38">
        <v>0.21363699999999999</v>
      </c>
      <c r="E60" s="39">
        <v>0.14833199999999999</v>
      </c>
      <c r="F60" s="40">
        <v>0.21040200000000001</v>
      </c>
      <c r="G60" s="41">
        <v>0.28756300000000001</v>
      </c>
      <c r="H60" s="41">
        <v>0.27611999999999998</v>
      </c>
      <c r="I60" s="40">
        <v>0.39258900000000002</v>
      </c>
      <c r="J60" s="39">
        <v>0.30581799999999998</v>
      </c>
      <c r="L60" s="81"/>
    </row>
    <row r="61" spans="1:12" ht="23.25" customHeight="1" x14ac:dyDescent="0.2">
      <c r="A61" s="26">
        <v>510</v>
      </c>
      <c r="B61" s="36">
        <v>0.120405</v>
      </c>
      <c r="C61" s="37">
        <v>0.15687100000000001</v>
      </c>
      <c r="D61" s="38">
        <v>0.205932</v>
      </c>
      <c r="E61" s="39">
        <v>0.14774000000000001</v>
      </c>
      <c r="F61" s="40">
        <v>0.21208299999999999</v>
      </c>
      <c r="G61" s="41">
        <v>0.291246</v>
      </c>
      <c r="H61" s="41">
        <v>0.271117</v>
      </c>
      <c r="I61" s="40">
        <v>0.38922899999999999</v>
      </c>
      <c r="J61" s="39">
        <v>0.30512699999999998</v>
      </c>
      <c r="L61" s="81"/>
    </row>
    <row r="62" spans="1:12" ht="23.25" customHeight="1" x14ac:dyDescent="0.2">
      <c r="A62" s="26">
        <v>505</v>
      </c>
      <c r="B62" s="36">
        <v>0.11545999999999999</v>
      </c>
      <c r="C62" s="37">
        <v>0.149307</v>
      </c>
      <c r="D62" s="38">
        <v>0.19592000000000001</v>
      </c>
      <c r="E62" s="39">
        <v>0.14623700000000001</v>
      </c>
      <c r="F62" s="40">
        <v>0.21247099999999999</v>
      </c>
      <c r="G62" s="41">
        <v>0.29320600000000002</v>
      </c>
      <c r="H62" s="41">
        <v>0.26358399999999998</v>
      </c>
      <c r="I62" s="40">
        <v>0.38248500000000002</v>
      </c>
      <c r="J62" s="39">
        <v>0.30235600000000001</v>
      </c>
      <c r="L62" s="81"/>
    </row>
    <row r="63" spans="1:12" ht="23.25" customHeight="1" x14ac:dyDescent="0.2">
      <c r="A63" s="26">
        <v>500</v>
      </c>
      <c r="B63" s="36">
        <v>0.109699</v>
      </c>
      <c r="C63" s="37">
        <v>0.140821</v>
      </c>
      <c r="D63" s="38">
        <v>0.184337</v>
      </c>
      <c r="E63" s="39">
        <v>0.14232400000000001</v>
      </c>
      <c r="F63" s="40">
        <v>0.209733</v>
      </c>
      <c r="G63" s="41">
        <v>0.29062399999999999</v>
      </c>
      <c r="H63" s="41">
        <v>0.25330399999999997</v>
      </c>
      <c r="I63" s="40">
        <v>0.370971</v>
      </c>
      <c r="J63" s="39">
        <v>0.29537000000000002</v>
      </c>
      <c r="L63" s="81"/>
    </row>
    <row r="64" spans="1:12" ht="23.25" customHeight="1" x14ac:dyDescent="0.2">
      <c r="A64" s="26">
        <v>495</v>
      </c>
      <c r="B64" s="36">
        <v>0.103397</v>
      </c>
      <c r="C64" s="37">
        <v>0.131716</v>
      </c>
      <c r="D64" s="38">
        <v>0.17205300000000001</v>
      </c>
      <c r="E64" s="39">
        <v>0.13561899999999999</v>
      </c>
      <c r="F64" s="40">
        <v>0.201878</v>
      </c>
      <c r="G64" s="41">
        <v>0.28182600000000002</v>
      </c>
      <c r="H64" s="41">
        <v>0.240283</v>
      </c>
      <c r="I64" s="40">
        <v>0.35401199999999999</v>
      </c>
      <c r="J64" s="39">
        <v>0.28359800000000002</v>
      </c>
      <c r="L64" s="81"/>
    </row>
    <row r="65" spans="1:18" ht="23.25" customHeight="1" x14ac:dyDescent="0.2">
      <c r="A65" s="26">
        <v>490</v>
      </c>
      <c r="B65" s="36">
        <v>9.6567100000000003E-2</v>
      </c>
      <c r="C65" s="37">
        <v>0.121933</v>
      </c>
      <c r="D65" s="38">
        <v>0.15812999999999999</v>
      </c>
      <c r="E65" s="39">
        <v>0.12574199999999999</v>
      </c>
      <c r="F65" s="40">
        <v>0.18950900000000001</v>
      </c>
      <c r="G65" s="41">
        <v>0.26649499999999998</v>
      </c>
      <c r="H65" s="41">
        <v>0.22359499999999999</v>
      </c>
      <c r="I65" s="40">
        <v>0.330733</v>
      </c>
      <c r="J65" s="39">
        <v>0.26625399999999999</v>
      </c>
      <c r="L65" s="81"/>
    </row>
    <row r="66" spans="1:18" ht="23.25" customHeight="1" x14ac:dyDescent="0.2">
      <c r="A66" s="26">
        <v>485</v>
      </c>
      <c r="B66" s="36">
        <v>8.9074E-2</v>
      </c>
      <c r="C66" s="37">
        <v>0.11087</v>
      </c>
      <c r="D66" s="38">
        <v>0.143126</v>
      </c>
      <c r="E66" s="39">
        <v>0.113828</v>
      </c>
      <c r="F66" s="40">
        <v>0.174151</v>
      </c>
      <c r="G66" s="41">
        <v>0.24760799999999999</v>
      </c>
      <c r="H66" s="60">
        <v>0.20483599999999999</v>
      </c>
      <c r="I66" s="40">
        <v>0.30288399999999999</v>
      </c>
      <c r="J66" s="39">
        <v>0.24532499999999999</v>
      </c>
      <c r="L66" s="82"/>
    </row>
    <row r="67" spans="1:18" ht="23.25" customHeight="1" thickBot="1" x14ac:dyDescent="0.25">
      <c r="A67" s="27">
        <v>480</v>
      </c>
      <c r="B67" s="42">
        <v>8.0953499999999998E-2</v>
      </c>
      <c r="C67" s="43">
        <v>9.9102499999999996E-2</v>
      </c>
      <c r="D67" s="44">
        <v>0.12662699999999999</v>
      </c>
      <c r="E67" s="45">
        <v>0.101215</v>
      </c>
      <c r="F67" s="46">
        <v>0.15828400000000001</v>
      </c>
      <c r="G67" s="47">
        <v>0.22764200000000001</v>
      </c>
      <c r="H67" s="47">
        <v>0.18429799999999999</v>
      </c>
      <c r="I67" s="46">
        <v>0.27276800000000001</v>
      </c>
      <c r="J67" s="45">
        <v>0.22297400000000001</v>
      </c>
      <c r="L67" s="81"/>
    </row>
    <row r="68" spans="1:18" ht="23.25" customHeight="1" x14ac:dyDescent="0.2">
      <c r="B68" s="17"/>
      <c r="C68" s="17"/>
      <c r="D68" s="17"/>
    </row>
    <row r="69" spans="1:18" ht="23.25" customHeight="1" x14ac:dyDescent="0.2">
      <c r="A69" s="6" t="s">
        <v>38</v>
      </c>
      <c r="B69" s="17"/>
      <c r="C69" s="17"/>
      <c r="D69" s="17"/>
    </row>
    <row r="71" spans="1:18" ht="23.25" customHeight="1" x14ac:dyDescent="0.2">
      <c r="A71" s="19" t="s">
        <v>30</v>
      </c>
      <c r="F71" s="18" t="s">
        <v>31</v>
      </c>
      <c r="M71" s="18" t="s">
        <v>18</v>
      </c>
    </row>
    <row r="72" spans="1:18" ht="23.25" customHeight="1" x14ac:dyDescent="0.2">
      <c r="A72" s="13"/>
      <c r="B72" s="14"/>
      <c r="C72" s="14"/>
      <c r="D72" s="15"/>
      <c r="F72" s="13"/>
      <c r="G72" s="14"/>
      <c r="H72" s="14"/>
      <c r="I72" s="14"/>
      <c r="J72" s="14"/>
      <c r="K72" s="15"/>
      <c r="M72" s="13"/>
      <c r="N72" s="14"/>
      <c r="O72" s="14"/>
      <c r="P72" s="14"/>
      <c r="Q72" s="14"/>
      <c r="R72" s="15"/>
    </row>
    <row r="73" spans="1:18" ht="23.25" customHeight="1" x14ac:dyDescent="0.2">
      <c r="A73" s="9"/>
      <c r="D73" s="10"/>
      <c r="F73" s="9"/>
      <c r="K73" s="10"/>
      <c r="M73" s="9"/>
      <c r="R73" s="10"/>
    </row>
    <row r="74" spans="1:18" ht="23.25" customHeight="1" x14ac:dyDescent="0.2">
      <c r="A74" s="9"/>
      <c r="D74" s="10"/>
      <c r="F74" s="9"/>
      <c r="K74" s="10"/>
      <c r="M74" s="9"/>
      <c r="R74" s="10"/>
    </row>
    <row r="75" spans="1:18" ht="23.25" customHeight="1" x14ac:dyDescent="0.2">
      <c r="A75" s="9"/>
      <c r="D75" s="10"/>
      <c r="F75" s="9"/>
      <c r="K75" s="10"/>
      <c r="M75" s="9"/>
      <c r="R75" s="10"/>
    </row>
    <row r="76" spans="1:18" ht="23.25" customHeight="1" x14ac:dyDescent="0.2">
      <c r="A76" s="9"/>
      <c r="B76" s="2" t="s">
        <v>65</v>
      </c>
      <c r="D76" s="10"/>
      <c r="F76" s="9"/>
      <c r="G76" s="2" t="s">
        <v>65</v>
      </c>
      <c r="K76" s="10"/>
      <c r="M76" s="9"/>
      <c r="R76" s="10"/>
    </row>
    <row r="77" spans="1:18" ht="23.25" customHeight="1" x14ac:dyDescent="0.2">
      <c r="A77" s="9"/>
      <c r="B77" s="2" t="s">
        <v>66</v>
      </c>
      <c r="D77" s="10"/>
      <c r="F77" s="9"/>
      <c r="G77" s="2" t="s">
        <v>66</v>
      </c>
      <c r="K77" s="10"/>
      <c r="M77" s="9"/>
      <c r="R77" s="10"/>
    </row>
    <row r="78" spans="1:18" ht="23.25" customHeight="1" x14ac:dyDescent="0.2">
      <c r="A78" s="9"/>
      <c r="D78" s="10"/>
      <c r="F78" s="9"/>
      <c r="K78" s="10"/>
      <c r="M78" s="9"/>
      <c r="R78" s="10"/>
    </row>
    <row r="79" spans="1:18" ht="23.25" customHeight="1" x14ac:dyDescent="0.2">
      <c r="A79" s="9"/>
      <c r="D79" s="10"/>
      <c r="F79" s="9"/>
      <c r="K79" s="10"/>
      <c r="M79" s="9"/>
      <c r="R79" s="10"/>
    </row>
    <row r="80" spans="1:18" ht="23.25" customHeight="1" x14ac:dyDescent="0.2">
      <c r="A80" s="9"/>
      <c r="D80" s="10"/>
      <c r="F80" s="9"/>
      <c r="K80" s="10"/>
      <c r="M80" s="9"/>
      <c r="R80" s="10"/>
    </row>
    <row r="81" spans="1:18" ht="23.25" customHeight="1" x14ac:dyDescent="0.2">
      <c r="A81" s="9"/>
      <c r="D81" s="10"/>
      <c r="F81" s="9"/>
      <c r="K81" s="10"/>
      <c r="M81" s="9"/>
      <c r="R81" s="10"/>
    </row>
    <row r="82" spans="1:18" ht="23.25" customHeight="1" x14ac:dyDescent="0.2">
      <c r="A82" s="9"/>
      <c r="D82" s="10"/>
      <c r="F82" s="9"/>
      <c r="K82" s="10"/>
      <c r="M82" s="9"/>
      <c r="R82" s="10"/>
    </row>
    <row r="83" spans="1:18" ht="23.25" customHeight="1" x14ac:dyDescent="0.2">
      <c r="A83" s="8"/>
      <c r="B83" s="11"/>
      <c r="C83" s="11"/>
      <c r="D83" s="12"/>
      <c r="F83" s="8"/>
      <c r="G83" s="11"/>
      <c r="H83" s="11"/>
      <c r="I83" s="11"/>
      <c r="J83" s="11"/>
      <c r="K83" s="12"/>
      <c r="M83" s="8"/>
      <c r="N83" s="11"/>
      <c r="O83" s="11"/>
      <c r="P83" s="11"/>
      <c r="Q83" s="11"/>
      <c r="R83" s="12"/>
    </row>
    <row r="85" spans="1:18" ht="23.25" customHeight="1" x14ac:dyDescent="0.2">
      <c r="A85" s="13" t="s">
        <v>6</v>
      </c>
      <c r="B85" s="127" t="s">
        <v>59</v>
      </c>
      <c r="C85" s="127"/>
      <c r="D85" s="127"/>
      <c r="E85" s="127"/>
      <c r="F85" s="128"/>
    </row>
    <row r="86" spans="1:18" ht="23.25" customHeight="1" x14ac:dyDescent="0.2">
      <c r="A86" s="8"/>
      <c r="B86" s="129"/>
      <c r="C86" s="129"/>
      <c r="D86" s="129"/>
      <c r="E86" s="129"/>
      <c r="F86" s="130"/>
    </row>
    <row r="88" spans="1:18" ht="23.25" customHeight="1" x14ac:dyDescent="0.2">
      <c r="A88" s="6" t="s">
        <v>39</v>
      </c>
    </row>
    <row r="90" spans="1:18" ht="23.25" customHeight="1" x14ac:dyDescent="0.2">
      <c r="A90" s="6" t="s">
        <v>42</v>
      </c>
    </row>
    <row r="91" spans="1:18" ht="23.25" customHeight="1" x14ac:dyDescent="0.2">
      <c r="A91" s="6"/>
    </row>
    <row r="92" spans="1:18" ht="23.25" customHeight="1" x14ac:dyDescent="0.2">
      <c r="A92" s="6"/>
    </row>
    <row r="93" spans="1:18" ht="23.25" customHeight="1" x14ac:dyDescent="0.2">
      <c r="A93" s="6" t="s">
        <v>43</v>
      </c>
      <c r="C93" s="114" t="s">
        <v>144</v>
      </c>
    </row>
    <row r="94" spans="1:18" ht="23.25" customHeight="1" x14ac:dyDescent="0.2">
      <c r="B94" s="67" t="s">
        <v>28</v>
      </c>
      <c r="C94" s="68"/>
      <c r="D94" s="68"/>
      <c r="E94" s="68"/>
      <c r="F94" s="68"/>
      <c r="G94" s="7" t="s">
        <v>29</v>
      </c>
      <c r="H94" s="7"/>
      <c r="I94" s="7"/>
      <c r="J94" s="7"/>
      <c r="K94" s="7"/>
      <c r="M94" s="6" t="s">
        <v>147</v>
      </c>
    </row>
    <row r="95" spans="1:18" ht="23.25" customHeight="1" thickBot="1" x14ac:dyDescent="0.25">
      <c r="A95" s="52" t="s">
        <v>27</v>
      </c>
      <c r="B95" s="7" t="s">
        <v>9</v>
      </c>
      <c r="C95" s="7" t="s">
        <v>10</v>
      </c>
      <c r="D95" s="7" t="s">
        <v>11</v>
      </c>
      <c r="E95" s="7" t="s">
        <v>44</v>
      </c>
      <c r="F95" s="7" t="s">
        <v>94</v>
      </c>
      <c r="G95" s="28" t="s">
        <v>9</v>
      </c>
      <c r="H95" s="28" t="s">
        <v>10</v>
      </c>
      <c r="I95" s="28" t="s">
        <v>11</v>
      </c>
      <c r="J95" s="28" t="s">
        <v>44</v>
      </c>
      <c r="K95" s="28" t="s">
        <v>94</v>
      </c>
      <c r="O95" s="2" t="s">
        <v>148</v>
      </c>
      <c r="P95" s="2" t="s">
        <v>149</v>
      </c>
    </row>
    <row r="96" spans="1:18" ht="23.25" customHeight="1" x14ac:dyDescent="0.2">
      <c r="A96" s="63">
        <v>550</v>
      </c>
      <c r="B96" s="66">
        <f>B53/$B$52</f>
        <v>0.37405333333333335</v>
      </c>
      <c r="C96" s="66">
        <f>C53/$C$52</f>
        <v>0.3737625</v>
      </c>
      <c r="D96" s="66">
        <f>D53/$D$52</f>
        <v>0.39234400000000003</v>
      </c>
      <c r="E96" s="59">
        <f>AVERAGE(B96:D96)</f>
        <v>0.38005327777777781</v>
      </c>
      <c r="F96" s="59">
        <f t="shared" ref="F96:F110" si="0">_xlfn.STDEV.S(B96:D96)</f>
        <v>1.0645070951610189E-2</v>
      </c>
      <c r="G96" s="66">
        <f t="shared" ref="G96:G110" si="1">E53/$E$52</f>
        <v>0.35682666666666668</v>
      </c>
      <c r="H96" s="66">
        <f t="shared" ref="H96:H110" si="2">F53/$F$52</f>
        <v>0.34937250000000003</v>
      </c>
      <c r="I96" s="66">
        <f t="shared" ref="I96:I110" si="3">G53/$G$52</f>
        <v>0.37190400000000001</v>
      </c>
      <c r="J96" s="59">
        <f>AVERAGE(G96:I96)</f>
        <v>0.35936772222222224</v>
      </c>
      <c r="K96" s="59">
        <f t="shared" ref="K96:K110" si="4">_xlfn.STDEV.S(G96:I96)</f>
        <v>1.1478669154776378E-2</v>
      </c>
      <c r="M96" s="2" t="s">
        <v>146</v>
      </c>
      <c r="O96" s="69">
        <f>ABS(I96-G96)/ABS(I96-H96)</f>
        <v>0.66916687008558429</v>
      </c>
      <c r="P96" s="2">
        <v>0.94099999999999995</v>
      </c>
      <c r="Q96" s="2" t="s">
        <v>151</v>
      </c>
    </row>
    <row r="97" spans="1:17" ht="23.25" customHeight="1" x14ac:dyDescent="0.2">
      <c r="A97" s="64">
        <v>545</v>
      </c>
      <c r="B97" s="66">
        <f>B54/$B$52</f>
        <v>0.39119333333333334</v>
      </c>
      <c r="C97" s="66">
        <f t="shared" ref="C97:C110" si="5">C54/$C$52</f>
        <v>0.39060249999999996</v>
      </c>
      <c r="D97" s="66">
        <f t="shared" ref="D97:D110" si="6">D54/$D$52</f>
        <v>0.41039399999999998</v>
      </c>
      <c r="E97" s="59">
        <f t="shared" ref="E97:E109" si="7">AVERAGE(B97:D97)</f>
        <v>0.39739661111111108</v>
      </c>
      <c r="F97" s="59">
        <f t="shared" si="0"/>
        <v>1.1259944913440015E-2</v>
      </c>
      <c r="G97" s="66">
        <f t="shared" si="1"/>
        <v>0.39922666666666667</v>
      </c>
      <c r="H97" s="66">
        <f t="shared" si="2"/>
        <v>0.39846999999999999</v>
      </c>
      <c r="I97" s="66">
        <f t="shared" si="3"/>
        <v>0.42611199999999999</v>
      </c>
      <c r="J97" s="70">
        <f>AVERAGE(G97:H97)</f>
        <v>0.39884833333333336</v>
      </c>
      <c r="K97" s="70">
        <f>_xlfn.STDEV.S(G97:H97)</f>
        <v>5.3504413109783271E-4</v>
      </c>
      <c r="M97" s="2" t="s">
        <v>145</v>
      </c>
      <c r="O97" s="69">
        <f>ABS(I97-G97)/ABS(I97-H97)</f>
        <v>0.97262619685020324</v>
      </c>
      <c r="P97" s="2">
        <v>0.94099999999999995</v>
      </c>
      <c r="Q97" s="2" t="s">
        <v>150</v>
      </c>
    </row>
    <row r="98" spans="1:17" ht="23.25" customHeight="1" x14ac:dyDescent="0.2">
      <c r="A98" s="64">
        <v>540</v>
      </c>
      <c r="B98" s="66">
        <f t="shared" ref="B97:B110" si="8">B55/$B$52</f>
        <v>0.40378333333333338</v>
      </c>
      <c r="C98" s="66">
        <f t="shared" si="5"/>
        <v>0.40245749999999997</v>
      </c>
      <c r="D98" s="66">
        <f t="shared" si="6"/>
        <v>0.42314000000000002</v>
      </c>
      <c r="E98" s="59">
        <f t="shared" si="7"/>
        <v>0.40979361111111112</v>
      </c>
      <c r="F98" s="59">
        <f t="shared" si="0"/>
        <v>1.1577306715598286E-2</v>
      </c>
      <c r="G98" s="66">
        <f t="shared" si="1"/>
        <v>0.44368333333333337</v>
      </c>
      <c r="H98" s="66">
        <f t="shared" si="2"/>
        <v>0.44977250000000002</v>
      </c>
      <c r="I98" s="66">
        <f t="shared" si="3"/>
        <v>0.48287400000000003</v>
      </c>
      <c r="J98" s="59">
        <f t="shared" ref="J98:J110" si="9">AVERAGE(G98:I98)</f>
        <v>0.45877661111111112</v>
      </c>
      <c r="K98" s="59">
        <f t="shared" si="4"/>
        <v>2.1089869632607266E-2</v>
      </c>
      <c r="M98" s="2" t="s">
        <v>145</v>
      </c>
      <c r="O98" s="69">
        <f t="shared" ref="O98:O110" si="10">ABS(I98-H98)/ABS(I98-G98)</f>
        <v>0.84462712210390278</v>
      </c>
      <c r="P98" s="2">
        <v>0.94099999999999995</v>
      </c>
      <c r="Q98" s="2" t="s">
        <v>151</v>
      </c>
    </row>
    <row r="99" spans="1:17" ht="23.25" customHeight="1" x14ac:dyDescent="0.2">
      <c r="A99" s="64">
        <v>535</v>
      </c>
      <c r="B99" s="66">
        <f t="shared" si="8"/>
        <v>0.41260000000000002</v>
      </c>
      <c r="C99" s="66">
        <f t="shared" si="5"/>
        <v>0.41067999999999999</v>
      </c>
      <c r="D99" s="66">
        <f t="shared" si="6"/>
        <v>0.43226999999999999</v>
      </c>
      <c r="E99" s="59">
        <f t="shared" si="7"/>
        <v>0.41851666666666665</v>
      </c>
      <c r="F99" s="59">
        <f t="shared" si="0"/>
        <v>1.1949361210262794E-2</v>
      </c>
      <c r="G99" s="66">
        <f t="shared" si="1"/>
        <v>0.4805166666666667</v>
      </c>
      <c r="H99" s="66">
        <f t="shared" si="2"/>
        <v>0.49267999999999995</v>
      </c>
      <c r="I99" s="66">
        <f t="shared" si="3"/>
        <v>0.53039000000000003</v>
      </c>
      <c r="J99" s="59">
        <f t="shared" si="9"/>
        <v>0.50119555555555551</v>
      </c>
      <c r="K99" s="59">
        <f t="shared" si="4"/>
        <v>2.600429501561732E-2</v>
      </c>
      <c r="M99" s="2" t="s">
        <v>145</v>
      </c>
      <c r="O99" s="69">
        <f t="shared" si="10"/>
        <v>0.75611549258120736</v>
      </c>
      <c r="P99" s="2">
        <v>0.94099999999999995</v>
      </c>
      <c r="Q99" s="2" t="s">
        <v>151</v>
      </c>
    </row>
    <row r="100" spans="1:17" ht="23.25" customHeight="1" x14ac:dyDescent="0.2">
      <c r="A100" s="64">
        <v>530</v>
      </c>
      <c r="B100" s="66">
        <f t="shared" si="8"/>
        <v>0.41920333333333337</v>
      </c>
      <c r="C100" s="66">
        <f t="shared" si="5"/>
        <v>0.41595499999999996</v>
      </c>
      <c r="D100" s="66">
        <f t="shared" si="6"/>
        <v>0.43824999999999997</v>
      </c>
      <c r="E100" s="59">
        <f t="shared" si="7"/>
        <v>0.4244694444444444</v>
      </c>
      <c r="F100" s="59">
        <f t="shared" si="0"/>
        <v>1.2044322352292205E-2</v>
      </c>
      <c r="G100" s="66">
        <f t="shared" si="1"/>
        <v>0.50003333333333333</v>
      </c>
      <c r="H100" s="66">
        <f t="shared" si="2"/>
        <v>0.5172874999999999</v>
      </c>
      <c r="I100" s="66">
        <f t="shared" si="3"/>
        <v>0.55846399999999996</v>
      </c>
      <c r="J100" s="59">
        <f t="shared" si="9"/>
        <v>0.52526161111111103</v>
      </c>
      <c r="K100" s="59">
        <f t="shared" si="4"/>
        <v>3.0020418681074995E-2</v>
      </c>
      <c r="M100" s="2" t="s">
        <v>145</v>
      </c>
      <c r="O100" s="69">
        <f t="shared" si="10"/>
        <v>0.70470700317185186</v>
      </c>
      <c r="P100" s="2">
        <v>0.94099999999999995</v>
      </c>
      <c r="Q100" s="2" t="s">
        <v>151</v>
      </c>
    </row>
    <row r="101" spans="1:17" ht="23.25" customHeight="1" x14ac:dyDescent="0.2">
      <c r="A101" s="64">
        <v>525</v>
      </c>
      <c r="B101" s="66">
        <f t="shared" si="8"/>
        <v>0.42255999999999999</v>
      </c>
      <c r="C101" s="66">
        <f t="shared" si="5"/>
        <v>0.41797000000000001</v>
      </c>
      <c r="D101" s="66">
        <f t="shared" si="6"/>
        <v>0.44034200000000001</v>
      </c>
      <c r="E101" s="59">
        <f t="shared" si="7"/>
        <v>0.42695733333333336</v>
      </c>
      <c r="F101" s="59">
        <f t="shared" si="0"/>
        <v>1.1816471610990037E-2</v>
      </c>
      <c r="G101" s="66">
        <f t="shared" si="1"/>
        <v>0.50275333333333327</v>
      </c>
      <c r="H101" s="66">
        <f t="shared" si="2"/>
        <v>0.52397499999999997</v>
      </c>
      <c r="I101" s="66">
        <f t="shared" si="3"/>
        <v>0.56777</v>
      </c>
      <c r="J101" s="59">
        <f t="shared" si="9"/>
        <v>0.53149944444444441</v>
      </c>
      <c r="K101" s="59">
        <f t="shared" si="4"/>
        <v>3.3155009942077547E-2</v>
      </c>
      <c r="M101" s="2" t="s">
        <v>145</v>
      </c>
      <c r="O101" s="69">
        <f t="shared" si="10"/>
        <v>0.67359651371443208</v>
      </c>
      <c r="P101" s="2">
        <v>0.94099999999999995</v>
      </c>
      <c r="Q101" s="2" t="s">
        <v>151</v>
      </c>
    </row>
    <row r="102" spans="1:17" ht="23.25" customHeight="1" x14ac:dyDescent="0.2">
      <c r="A102" s="64">
        <v>520</v>
      </c>
      <c r="B102" s="66">
        <f t="shared" si="8"/>
        <v>0.42070999999999997</v>
      </c>
      <c r="C102" s="66">
        <f t="shared" si="5"/>
        <v>0.41469999999999996</v>
      </c>
      <c r="D102" s="66">
        <f t="shared" si="6"/>
        <v>0.43669000000000002</v>
      </c>
      <c r="E102" s="59">
        <f t="shared" si="7"/>
        <v>0.42403333333333332</v>
      </c>
      <c r="F102" s="59">
        <f t="shared" si="0"/>
        <v>1.1365449103899684E-2</v>
      </c>
      <c r="G102" s="66">
        <f t="shared" si="1"/>
        <v>0.49781666666666669</v>
      </c>
      <c r="H102" s="66">
        <f t="shared" si="2"/>
        <v>0.52370749999999999</v>
      </c>
      <c r="I102" s="66">
        <f t="shared" si="3"/>
        <v>0.56999999999999995</v>
      </c>
      <c r="J102" s="59">
        <f t="shared" si="9"/>
        <v>0.53050805555555547</v>
      </c>
      <c r="K102" s="59">
        <f t="shared" si="4"/>
        <v>3.6569031566011198E-2</v>
      </c>
      <c r="M102" s="2" t="s">
        <v>145</v>
      </c>
      <c r="O102" s="69">
        <f t="shared" si="10"/>
        <v>0.64131840221657821</v>
      </c>
      <c r="P102" s="2">
        <v>0.94099999999999995</v>
      </c>
      <c r="Q102" s="2" t="s">
        <v>152</v>
      </c>
    </row>
    <row r="103" spans="1:17" ht="23.25" customHeight="1" x14ac:dyDescent="0.2">
      <c r="A103" s="64">
        <v>515</v>
      </c>
      <c r="B103" s="66">
        <f t="shared" si="8"/>
        <v>0.4140766666666667</v>
      </c>
      <c r="C103" s="66">
        <f t="shared" si="5"/>
        <v>0.40622249999999999</v>
      </c>
      <c r="D103" s="66">
        <f t="shared" si="6"/>
        <v>0.42727399999999999</v>
      </c>
      <c r="E103" s="59">
        <f t="shared" si="7"/>
        <v>0.41585772222222223</v>
      </c>
      <c r="F103" s="59">
        <f t="shared" si="0"/>
        <v>1.0638163950206888E-2</v>
      </c>
      <c r="G103" s="66">
        <f t="shared" si="1"/>
        <v>0.49443999999999999</v>
      </c>
      <c r="H103" s="66">
        <f t="shared" si="2"/>
        <v>0.52600499999999994</v>
      </c>
      <c r="I103" s="66">
        <f t="shared" si="3"/>
        <v>0.57512600000000003</v>
      </c>
      <c r="J103" s="59">
        <f t="shared" si="9"/>
        <v>0.53185700000000002</v>
      </c>
      <c r="K103" s="59">
        <f t="shared" si="4"/>
        <v>4.066007964822501E-2</v>
      </c>
      <c r="M103" s="2" t="s">
        <v>145</v>
      </c>
      <c r="O103" s="69">
        <f t="shared" si="10"/>
        <v>0.60879210767667324</v>
      </c>
      <c r="P103" s="2">
        <v>0.94099999999999995</v>
      </c>
      <c r="Q103" s="2" t="s">
        <v>153</v>
      </c>
    </row>
    <row r="104" spans="1:17" ht="23.25" customHeight="1" x14ac:dyDescent="0.2">
      <c r="A104" s="64">
        <v>510</v>
      </c>
      <c r="B104" s="66">
        <f t="shared" si="8"/>
        <v>0.40134999999999998</v>
      </c>
      <c r="C104" s="66">
        <f t="shared" si="5"/>
        <v>0.39217750000000001</v>
      </c>
      <c r="D104" s="66">
        <f t="shared" si="6"/>
        <v>0.41186400000000001</v>
      </c>
      <c r="E104" s="59">
        <f t="shared" si="7"/>
        <v>0.40179716666666665</v>
      </c>
      <c r="F104" s="59">
        <f t="shared" si="0"/>
        <v>9.8508648901166687E-3</v>
      </c>
      <c r="G104" s="66">
        <f t="shared" si="1"/>
        <v>0.49246666666666672</v>
      </c>
      <c r="H104" s="66">
        <f t="shared" si="2"/>
        <v>0.53020749999999994</v>
      </c>
      <c r="I104" s="66">
        <f t="shared" si="3"/>
        <v>0.58249200000000001</v>
      </c>
      <c r="J104" s="59">
        <f t="shared" si="9"/>
        <v>0.53505538888888882</v>
      </c>
      <c r="K104" s="59">
        <f t="shared" si="4"/>
        <v>4.5208037785925879E-2</v>
      </c>
      <c r="M104" s="2" t="s">
        <v>145</v>
      </c>
      <c r="O104" s="69">
        <f t="shared" si="10"/>
        <v>0.58077541136569066</v>
      </c>
      <c r="P104" s="2">
        <v>0.94099999999999995</v>
      </c>
      <c r="Q104" s="2" t="s">
        <v>154</v>
      </c>
    </row>
    <row r="105" spans="1:17" ht="23.25" customHeight="1" x14ac:dyDescent="0.2">
      <c r="A105" s="64">
        <v>505</v>
      </c>
      <c r="B105" s="66">
        <f t="shared" si="8"/>
        <v>0.38486666666666663</v>
      </c>
      <c r="C105" s="66">
        <f t="shared" si="5"/>
        <v>0.37326749999999997</v>
      </c>
      <c r="D105" s="66">
        <f t="shared" si="6"/>
        <v>0.39184000000000002</v>
      </c>
      <c r="E105" s="59">
        <f t="shared" si="7"/>
        <v>0.38332472222222219</v>
      </c>
      <c r="F105" s="59">
        <f t="shared" si="0"/>
        <v>9.3817713447309735E-3</v>
      </c>
      <c r="G105" s="66">
        <f t="shared" si="1"/>
        <v>0.4874566666666667</v>
      </c>
      <c r="H105" s="66">
        <f t="shared" si="2"/>
        <v>0.53117749999999997</v>
      </c>
      <c r="I105" s="66">
        <f t="shared" si="3"/>
        <v>0.58641200000000004</v>
      </c>
      <c r="J105" s="59">
        <f t="shared" si="9"/>
        <v>0.535015388888889</v>
      </c>
      <c r="K105" s="59">
        <f t="shared" si="4"/>
        <v>4.9589177671346511E-2</v>
      </c>
      <c r="M105" s="2" t="s">
        <v>145</v>
      </c>
      <c r="O105" s="69">
        <f t="shared" si="10"/>
        <v>0.55817607944325121</v>
      </c>
      <c r="P105" s="2">
        <v>0.94099999999999995</v>
      </c>
      <c r="Q105" s="2" t="s">
        <v>155</v>
      </c>
    </row>
    <row r="106" spans="1:17" ht="23.25" customHeight="1" x14ac:dyDescent="0.2">
      <c r="A106" s="64">
        <v>500</v>
      </c>
      <c r="B106" s="66">
        <f t="shared" si="8"/>
        <v>0.36566333333333334</v>
      </c>
      <c r="C106" s="66">
        <f t="shared" si="5"/>
        <v>0.35205249999999999</v>
      </c>
      <c r="D106" s="66">
        <f t="shared" si="6"/>
        <v>0.368674</v>
      </c>
      <c r="E106" s="59">
        <f t="shared" si="7"/>
        <v>0.36212994444444441</v>
      </c>
      <c r="F106" s="59">
        <f t="shared" si="0"/>
        <v>8.8561951956013657E-3</v>
      </c>
      <c r="G106" s="66">
        <f t="shared" si="1"/>
        <v>0.47441333333333335</v>
      </c>
      <c r="H106" s="66">
        <f t="shared" si="2"/>
        <v>0.52433249999999998</v>
      </c>
      <c r="I106" s="66">
        <f t="shared" si="3"/>
        <v>0.58124799999999999</v>
      </c>
      <c r="J106" s="59">
        <f t="shared" si="9"/>
        <v>0.52666461111111118</v>
      </c>
      <c r="K106" s="59">
        <f t="shared" si="4"/>
        <v>5.3455500719012713E-2</v>
      </c>
      <c r="M106" s="2" t="s">
        <v>145</v>
      </c>
      <c r="O106" s="69">
        <f t="shared" si="10"/>
        <v>0.53274374110775558</v>
      </c>
      <c r="P106" s="2">
        <v>0.94099999999999995</v>
      </c>
      <c r="Q106" s="2" t="s">
        <v>156</v>
      </c>
    </row>
    <row r="107" spans="1:17" ht="23.25" customHeight="1" x14ac:dyDescent="0.2">
      <c r="A107" s="64">
        <v>495</v>
      </c>
      <c r="B107" s="66">
        <f t="shared" si="8"/>
        <v>0.34465666666666667</v>
      </c>
      <c r="C107" s="66">
        <f t="shared" si="5"/>
        <v>0.32928999999999997</v>
      </c>
      <c r="D107" s="66">
        <f t="shared" si="6"/>
        <v>0.34410600000000002</v>
      </c>
      <c r="E107" s="59">
        <f t="shared" si="7"/>
        <v>0.33935088888888892</v>
      </c>
      <c r="F107" s="59">
        <f t="shared" si="0"/>
        <v>8.7173345909383766E-3</v>
      </c>
      <c r="G107" s="66">
        <f t="shared" si="1"/>
        <v>0.45206333333333332</v>
      </c>
      <c r="H107" s="66">
        <f t="shared" si="2"/>
        <v>0.504695</v>
      </c>
      <c r="I107" s="66">
        <f t="shared" si="3"/>
        <v>0.56365200000000004</v>
      </c>
      <c r="J107" s="59">
        <f t="shared" si="9"/>
        <v>0.50680344444444447</v>
      </c>
      <c r="K107" s="59">
        <f t="shared" si="4"/>
        <v>5.5824204298785991E-2</v>
      </c>
      <c r="M107" s="2" t="s">
        <v>145</v>
      </c>
      <c r="O107" s="69">
        <f t="shared" si="10"/>
        <v>0.52834218528763377</v>
      </c>
      <c r="P107" s="2">
        <v>0.94099999999999995</v>
      </c>
      <c r="Q107" s="2" t="s">
        <v>157</v>
      </c>
    </row>
    <row r="108" spans="1:17" ht="23.25" customHeight="1" x14ac:dyDescent="0.2">
      <c r="A108" s="64">
        <v>490</v>
      </c>
      <c r="B108" s="66">
        <f t="shared" si="8"/>
        <v>0.32189033333333333</v>
      </c>
      <c r="C108" s="66">
        <f t="shared" si="5"/>
        <v>0.30483250000000001</v>
      </c>
      <c r="D108" s="66">
        <f t="shared" si="6"/>
        <v>0.31625999999999999</v>
      </c>
      <c r="E108" s="59">
        <f t="shared" si="7"/>
        <v>0.31432761111111113</v>
      </c>
      <c r="F108" s="59">
        <f t="shared" si="0"/>
        <v>8.6915484593005805E-3</v>
      </c>
      <c r="G108" s="66">
        <f t="shared" si="1"/>
        <v>0.41914000000000001</v>
      </c>
      <c r="H108" s="66">
        <f t="shared" si="2"/>
        <v>0.47377249999999999</v>
      </c>
      <c r="I108" s="66">
        <f t="shared" si="3"/>
        <v>0.53298999999999996</v>
      </c>
      <c r="J108" s="59">
        <f t="shared" si="9"/>
        <v>0.47530083333333328</v>
      </c>
      <c r="K108" s="59">
        <f t="shared" si="4"/>
        <v>5.6940385290963132E-2</v>
      </c>
      <c r="M108" s="2" t="s">
        <v>145</v>
      </c>
      <c r="O108" s="69">
        <f t="shared" si="10"/>
        <v>0.52013614404918751</v>
      </c>
      <c r="P108" s="2">
        <v>0.94099999999999995</v>
      </c>
      <c r="Q108" s="2" t="s">
        <v>158</v>
      </c>
    </row>
    <row r="109" spans="1:17" ht="23.25" customHeight="1" x14ac:dyDescent="0.2">
      <c r="A109" s="64">
        <v>485</v>
      </c>
      <c r="B109" s="66">
        <f t="shared" si="8"/>
        <v>0.29691333333333336</v>
      </c>
      <c r="C109" s="66">
        <f t="shared" si="5"/>
        <v>0.27717499999999995</v>
      </c>
      <c r="D109" s="66">
        <f t="shared" si="6"/>
        <v>0.28625200000000001</v>
      </c>
      <c r="E109" s="59">
        <f t="shared" si="7"/>
        <v>0.28678011111111107</v>
      </c>
      <c r="F109" s="59">
        <f t="shared" si="0"/>
        <v>9.8797584334691345E-3</v>
      </c>
      <c r="G109" s="66">
        <f t="shared" si="1"/>
        <v>0.37942666666666669</v>
      </c>
      <c r="H109" s="66">
        <f t="shared" si="2"/>
        <v>0.43537749999999997</v>
      </c>
      <c r="I109" s="66">
        <f t="shared" si="3"/>
        <v>0.49521599999999999</v>
      </c>
      <c r="J109" s="59">
        <f t="shared" si="9"/>
        <v>0.4366733888888889</v>
      </c>
      <c r="K109" s="59">
        <f t="shared" si="4"/>
        <v>5.7905543123725867E-2</v>
      </c>
      <c r="M109" s="2" t="s">
        <v>145</v>
      </c>
      <c r="O109" s="69">
        <f t="shared" si="10"/>
        <v>0.516787671863845</v>
      </c>
      <c r="P109" s="2">
        <v>0.94099999999999995</v>
      </c>
      <c r="Q109" s="2" t="s">
        <v>159</v>
      </c>
    </row>
    <row r="110" spans="1:17" ht="23.25" customHeight="1" thickBot="1" x14ac:dyDescent="0.25">
      <c r="A110" s="65">
        <v>480</v>
      </c>
      <c r="B110" s="66">
        <f t="shared" si="8"/>
        <v>0.269845</v>
      </c>
      <c r="C110" s="66">
        <f t="shared" si="5"/>
        <v>0.24775624999999998</v>
      </c>
      <c r="D110" s="66">
        <f t="shared" si="6"/>
        <v>0.25325399999999998</v>
      </c>
      <c r="E110" s="59">
        <f>AVERAGE(B110:D110)</f>
        <v>0.25695174999999998</v>
      </c>
      <c r="F110" s="59">
        <f t="shared" si="0"/>
        <v>1.1499271082877394E-2</v>
      </c>
      <c r="G110" s="66">
        <f t="shared" si="1"/>
        <v>0.33738333333333337</v>
      </c>
      <c r="H110" s="66">
        <f t="shared" si="2"/>
        <v>0.39571000000000001</v>
      </c>
      <c r="I110" s="66">
        <f t="shared" si="3"/>
        <v>0.45528400000000002</v>
      </c>
      <c r="J110" s="59">
        <f t="shared" si="9"/>
        <v>0.3961257777777778</v>
      </c>
      <c r="K110" s="59">
        <f t="shared" si="4"/>
        <v>5.8951433006174468E-2</v>
      </c>
      <c r="M110" s="2" t="s">
        <v>145</v>
      </c>
      <c r="O110" s="69">
        <f t="shared" si="10"/>
        <v>0.5052897636993855</v>
      </c>
      <c r="P110" s="2">
        <v>0.94099999999999995</v>
      </c>
      <c r="Q110" s="2" t="s">
        <v>160</v>
      </c>
    </row>
    <row r="111" spans="1:17" ht="23.25" customHeight="1" x14ac:dyDescent="0.2">
      <c r="B111" s="17"/>
      <c r="C111" s="17"/>
      <c r="D111" s="17"/>
      <c r="M111" s="2" t="s">
        <v>161</v>
      </c>
    </row>
    <row r="112" spans="1:17" ht="23.25" customHeight="1" x14ac:dyDescent="0.2">
      <c r="A112" s="13" t="s">
        <v>6</v>
      </c>
      <c r="B112" s="120" t="s">
        <v>100</v>
      </c>
      <c r="C112" s="120"/>
      <c r="D112" s="120"/>
      <c r="E112" s="120"/>
      <c r="F112" s="121"/>
    </row>
    <row r="113" spans="1:8" ht="23.25" customHeight="1" x14ac:dyDescent="0.2">
      <c r="A113" s="8"/>
      <c r="B113" s="122"/>
      <c r="C113" s="122"/>
      <c r="D113" s="122"/>
      <c r="E113" s="122"/>
      <c r="F113" s="123"/>
    </row>
    <row r="114" spans="1:8" ht="23.25" customHeight="1" x14ac:dyDescent="0.2">
      <c r="A114" s="6"/>
    </row>
    <row r="115" spans="1:8" ht="23.25" customHeight="1" x14ac:dyDescent="0.2">
      <c r="A115" s="6" t="s">
        <v>64</v>
      </c>
    </row>
    <row r="116" spans="1:8" ht="23.25" customHeight="1" x14ac:dyDescent="0.2">
      <c r="A116" s="6"/>
    </row>
    <row r="117" spans="1:8" ht="23.25" customHeight="1" x14ac:dyDescent="0.2">
      <c r="A117" s="62" t="s">
        <v>27</v>
      </c>
      <c r="B117" s="62" t="s">
        <v>41</v>
      </c>
      <c r="C117" s="62" t="s">
        <v>40</v>
      </c>
      <c r="D117" s="18" t="s">
        <v>68</v>
      </c>
      <c r="E117" s="2" t="s">
        <v>70</v>
      </c>
      <c r="F117" s="2" t="s">
        <v>71</v>
      </c>
      <c r="G117" s="2" t="s">
        <v>72</v>
      </c>
      <c r="H117" s="2" t="s">
        <v>73</v>
      </c>
    </row>
    <row r="118" spans="1:8" ht="23.25" customHeight="1" x14ac:dyDescent="0.2">
      <c r="A118" s="48">
        <v>550</v>
      </c>
      <c r="B118" s="59">
        <f>G118</f>
        <v>1.057560972442495</v>
      </c>
      <c r="C118" s="40">
        <f>H118</f>
        <v>0.61531402606955199</v>
      </c>
      <c r="D118" s="35">
        <f>J53</f>
        <v>0.22112399999999999</v>
      </c>
      <c r="E118" s="69">
        <f>J96</f>
        <v>0.35936772222222224</v>
      </c>
      <c r="F118" s="69">
        <f t="shared" ref="F118:F132" si="11">E96</f>
        <v>0.38005327777777781</v>
      </c>
      <c r="G118" s="69">
        <f t="shared" ref="G118:G132" si="12">F118/E118</f>
        <v>1.057560972442495</v>
      </c>
      <c r="H118" s="51">
        <f t="shared" ref="H118:H132" si="13">D118/E118</f>
        <v>0.61531402606955199</v>
      </c>
    </row>
    <row r="119" spans="1:8" ht="23.25" customHeight="1" x14ac:dyDescent="0.2">
      <c r="A119" s="26">
        <v>545</v>
      </c>
      <c r="B119" s="59">
        <f t="shared" ref="B119:B132" si="14">G119</f>
        <v>0.99636021489650051</v>
      </c>
      <c r="C119" s="40">
        <f t="shared" ref="C119:C132" si="15">H119</f>
        <v>0.61608380796376228</v>
      </c>
      <c r="D119" s="35">
        <f t="shared" ref="D119:D132" si="16">J54</f>
        <v>0.245724</v>
      </c>
      <c r="E119" s="69">
        <f t="shared" ref="E118:E132" si="17">J97</f>
        <v>0.39884833333333336</v>
      </c>
      <c r="F119" s="69">
        <f t="shared" si="11"/>
        <v>0.39739661111111108</v>
      </c>
      <c r="G119" s="69">
        <f t="shared" si="12"/>
        <v>0.99636021489650051</v>
      </c>
      <c r="H119" s="51">
        <f t="shared" si="13"/>
        <v>0.61608380796376228</v>
      </c>
    </row>
    <row r="120" spans="1:8" ht="23.25" customHeight="1" x14ac:dyDescent="0.2">
      <c r="A120" s="26">
        <v>540</v>
      </c>
      <c r="B120" s="59">
        <f t="shared" si="14"/>
        <v>0.89323126154716548</v>
      </c>
      <c r="C120" s="40">
        <f t="shared" si="15"/>
        <v>0.5890230527348157</v>
      </c>
      <c r="D120" s="35">
        <f t="shared" si="16"/>
        <v>0.27023000000000003</v>
      </c>
      <c r="E120" s="69">
        <f t="shared" si="17"/>
        <v>0.45877661111111112</v>
      </c>
      <c r="F120" s="69">
        <f t="shared" si="11"/>
        <v>0.40979361111111112</v>
      </c>
      <c r="G120" s="69">
        <f t="shared" si="12"/>
        <v>0.89323126154716548</v>
      </c>
      <c r="H120" s="51">
        <f t="shared" si="13"/>
        <v>0.5890230527348157</v>
      </c>
    </row>
    <row r="121" spans="1:8" ht="23.25" customHeight="1" x14ac:dyDescent="0.2">
      <c r="A121" s="26">
        <v>535</v>
      </c>
      <c r="B121" s="59">
        <f t="shared" si="14"/>
        <v>0.83503666787858366</v>
      </c>
      <c r="C121" s="40">
        <f t="shared" si="15"/>
        <v>0.57923099433354919</v>
      </c>
      <c r="D121" s="35">
        <f t="shared" si="16"/>
        <v>0.29030800000000001</v>
      </c>
      <c r="E121" s="69">
        <f t="shared" si="17"/>
        <v>0.50119555555555551</v>
      </c>
      <c r="F121" s="69">
        <f t="shared" si="11"/>
        <v>0.41851666666666665</v>
      </c>
      <c r="G121" s="69">
        <f t="shared" si="12"/>
        <v>0.83503666787858366</v>
      </c>
      <c r="H121" s="51">
        <f t="shared" si="13"/>
        <v>0.57923099433354919</v>
      </c>
    </row>
    <row r="122" spans="1:8" ht="23.25" customHeight="1" x14ac:dyDescent="0.2">
      <c r="A122" s="26">
        <v>530</v>
      </c>
      <c r="B122" s="59">
        <f t="shared" si="14"/>
        <v>0.80811054047247788</v>
      </c>
      <c r="C122" s="40">
        <f t="shared" si="15"/>
        <v>0.5753628165605098</v>
      </c>
      <c r="D122" s="35">
        <f t="shared" si="16"/>
        <v>0.30221599999999998</v>
      </c>
      <c r="E122" s="69">
        <f t="shared" si="17"/>
        <v>0.52526161111111103</v>
      </c>
      <c r="F122" s="69">
        <f t="shared" si="11"/>
        <v>0.4244694444444444</v>
      </c>
      <c r="G122" s="69">
        <f t="shared" si="12"/>
        <v>0.80811054047247788</v>
      </c>
      <c r="H122" s="51">
        <f t="shared" si="13"/>
        <v>0.5753628165605098</v>
      </c>
    </row>
    <row r="123" spans="1:8" ht="23.25" customHeight="1" x14ac:dyDescent="0.2">
      <c r="A123" s="26">
        <v>525</v>
      </c>
      <c r="B123" s="59">
        <f t="shared" si="14"/>
        <v>0.80330720529654587</v>
      </c>
      <c r="C123" s="40">
        <f t="shared" si="15"/>
        <v>0.57585196597885013</v>
      </c>
      <c r="D123" s="35">
        <f t="shared" si="16"/>
        <v>0.30606499999999998</v>
      </c>
      <c r="E123" s="69">
        <f t="shared" si="17"/>
        <v>0.53149944444444441</v>
      </c>
      <c r="F123" s="69">
        <f t="shared" si="11"/>
        <v>0.42695733333333336</v>
      </c>
      <c r="G123" s="69">
        <f t="shared" si="12"/>
        <v>0.80330720529654587</v>
      </c>
      <c r="H123" s="51">
        <f t="shared" si="13"/>
        <v>0.57585196597885013</v>
      </c>
    </row>
    <row r="124" spans="1:8" ht="23.25" customHeight="1" x14ac:dyDescent="0.2">
      <c r="A124" s="26">
        <v>520</v>
      </c>
      <c r="B124" s="59">
        <f t="shared" si="14"/>
        <v>0.79929669096029021</v>
      </c>
      <c r="C124" s="40">
        <f t="shared" si="15"/>
        <v>0.5768451521052409</v>
      </c>
      <c r="D124" s="35">
        <f t="shared" si="16"/>
        <v>0.30602099999999999</v>
      </c>
      <c r="E124" s="69">
        <f t="shared" si="17"/>
        <v>0.53050805555555547</v>
      </c>
      <c r="F124" s="69">
        <f t="shared" si="11"/>
        <v>0.42403333333333332</v>
      </c>
      <c r="G124" s="69">
        <f t="shared" si="12"/>
        <v>0.79929669096029021</v>
      </c>
      <c r="H124" s="51">
        <f t="shared" si="13"/>
        <v>0.5768451521052409</v>
      </c>
    </row>
    <row r="125" spans="1:8" ht="23.25" customHeight="1" x14ac:dyDescent="0.2">
      <c r="A125" s="26">
        <v>515</v>
      </c>
      <c r="B125" s="59">
        <f t="shared" si="14"/>
        <v>0.78189761951468573</v>
      </c>
      <c r="C125" s="40">
        <f t="shared" si="15"/>
        <v>0.57500042304604426</v>
      </c>
      <c r="D125" s="35">
        <f t="shared" si="16"/>
        <v>0.30581799999999998</v>
      </c>
      <c r="E125" s="69">
        <f t="shared" si="17"/>
        <v>0.53185700000000002</v>
      </c>
      <c r="F125" s="69">
        <f t="shared" si="11"/>
        <v>0.41585772222222223</v>
      </c>
      <c r="G125" s="69">
        <f t="shared" si="12"/>
        <v>0.78189761951468573</v>
      </c>
      <c r="H125" s="51">
        <f t="shared" si="13"/>
        <v>0.57500042304604426</v>
      </c>
    </row>
    <row r="126" spans="1:8" ht="23.25" customHeight="1" x14ac:dyDescent="0.2">
      <c r="A126" s="26">
        <v>510</v>
      </c>
      <c r="B126" s="59">
        <f t="shared" si="14"/>
        <v>0.75094499562194861</v>
      </c>
      <c r="C126" s="40">
        <f t="shared" si="15"/>
        <v>0.5702718005207561</v>
      </c>
      <c r="D126" s="35">
        <f t="shared" si="16"/>
        <v>0.30512699999999998</v>
      </c>
      <c r="E126" s="69">
        <f t="shared" si="17"/>
        <v>0.53505538888888882</v>
      </c>
      <c r="F126" s="69">
        <f t="shared" si="11"/>
        <v>0.40179716666666665</v>
      </c>
      <c r="G126" s="69">
        <f t="shared" si="12"/>
        <v>0.75094499562194861</v>
      </c>
      <c r="H126" s="51">
        <f t="shared" si="13"/>
        <v>0.5702718005207561</v>
      </c>
    </row>
    <row r="127" spans="1:8" ht="23.25" customHeight="1" x14ac:dyDescent="0.2">
      <c r="A127" s="26">
        <v>505</v>
      </c>
      <c r="B127" s="59">
        <f t="shared" si="14"/>
        <v>0.71647419902875042</v>
      </c>
      <c r="C127" s="40">
        <f t="shared" si="15"/>
        <v>0.56513514616453908</v>
      </c>
      <c r="D127" s="35">
        <f t="shared" si="16"/>
        <v>0.30235600000000001</v>
      </c>
      <c r="E127" s="69">
        <f t="shared" si="17"/>
        <v>0.535015388888889</v>
      </c>
      <c r="F127" s="69">
        <f t="shared" si="11"/>
        <v>0.38332472222222219</v>
      </c>
      <c r="G127" s="69">
        <f t="shared" si="12"/>
        <v>0.71647419902875042</v>
      </c>
      <c r="H127" s="51">
        <f t="shared" si="13"/>
        <v>0.56513514616453908</v>
      </c>
    </row>
    <row r="128" spans="1:8" ht="23.25" customHeight="1" x14ac:dyDescent="0.2">
      <c r="A128" s="26">
        <v>500</v>
      </c>
      <c r="B128" s="59">
        <f t="shared" si="14"/>
        <v>0.68759118574618894</v>
      </c>
      <c r="C128" s="40">
        <f t="shared" si="15"/>
        <v>0.56083130282259541</v>
      </c>
      <c r="D128" s="35">
        <f t="shared" si="16"/>
        <v>0.29537000000000002</v>
      </c>
      <c r="E128" s="69">
        <f t="shared" si="17"/>
        <v>0.52666461111111118</v>
      </c>
      <c r="F128" s="69">
        <f t="shared" si="11"/>
        <v>0.36212994444444441</v>
      </c>
      <c r="G128" s="69">
        <f t="shared" si="12"/>
        <v>0.68759118574618894</v>
      </c>
      <c r="H128" s="51">
        <f t="shared" si="13"/>
        <v>0.56083130282259541</v>
      </c>
    </row>
    <row r="129" spans="1:9" ht="23.25" customHeight="1" x14ac:dyDescent="0.2">
      <c r="A129" s="26">
        <v>495</v>
      </c>
      <c r="B129" s="59">
        <f t="shared" si="14"/>
        <v>0.66959073109868805</v>
      </c>
      <c r="C129" s="40">
        <f t="shared" si="15"/>
        <v>0.55958183218521496</v>
      </c>
      <c r="D129" s="35">
        <f t="shared" si="16"/>
        <v>0.28359800000000002</v>
      </c>
      <c r="E129" s="69">
        <f t="shared" si="17"/>
        <v>0.50680344444444447</v>
      </c>
      <c r="F129" s="69">
        <f t="shared" si="11"/>
        <v>0.33935088888888892</v>
      </c>
      <c r="G129" s="69">
        <f t="shared" si="12"/>
        <v>0.66959073109868805</v>
      </c>
      <c r="H129" s="51">
        <f t="shared" si="13"/>
        <v>0.55958183218521496</v>
      </c>
    </row>
    <row r="130" spans="1:9" ht="23.25" customHeight="1" x14ac:dyDescent="0.2">
      <c r="A130" s="26">
        <v>490</v>
      </c>
      <c r="B130" s="59">
        <f t="shared" si="14"/>
        <v>0.66132350096400949</v>
      </c>
      <c r="C130" s="40">
        <f t="shared" si="15"/>
        <v>0.56017995620317662</v>
      </c>
      <c r="D130" s="35">
        <f t="shared" si="16"/>
        <v>0.26625399999999999</v>
      </c>
      <c r="E130" s="69">
        <f t="shared" si="17"/>
        <v>0.47530083333333328</v>
      </c>
      <c r="F130" s="69">
        <f t="shared" si="11"/>
        <v>0.31432761111111113</v>
      </c>
      <c r="G130" s="69">
        <f t="shared" si="12"/>
        <v>0.66132350096400949</v>
      </c>
      <c r="H130" s="51">
        <f t="shared" si="13"/>
        <v>0.56017995620317662</v>
      </c>
    </row>
    <row r="131" spans="1:9" ht="23.25" customHeight="1" x14ac:dyDescent="0.2">
      <c r="A131" s="26">
        <v>485</v>
      </c>
      <c r="B131" s="59">
        <f t="shared" si="14"/>
        <v>0.65673823596354297</v>
      </c>
      <c r="C131" s="40">
        <f t="shared" si="15"/>
        <v>0.56180432845753892</v>
      </c>
      <c r="D131" s="35">
        <f t="shared" si="16"/>
        <v>0.24532499999999999</v>
      </c>
      <c r="E131" s="69">
        <f t="shared" si="17"/>
        <v>0.4366733888888889</v>
      </c>
      <c r="F131" s="69">
        <f t="shared" si="11"/>
        <v>0.28678011111111107</v>
      </c>
      <c r="G131" s="69">
        <f t="shared" si="12"/>
        <v>0.65673823596354297</v>
      </c>
      <c r="H131" s="51">
        <f t="shared" si="13"/>
        <v>0.56180432845753892</v>
      </c>
    </row>
    <row r="132" spans="1:9" ht="23.25" customHeight="1" thickBot="1" x14ac:dyDescent="0.25">
      <c r="A132" s="27">
        <v>480</v>
      </c>
      <c r="B132" s="59">
        <f t="shared" si="14"/>
        <v>0.64866202710025878</v>
      </c>
      <c r="C132" s="40">
        <f t="shared" si="15"/>
        <v>0.56288687207093591</v>
      </c>
      <c r="D132" s="35">
        <f t="shared" si="16"/>
        <v>0.22297400000000001</v>
      </c>
      <c r="E132" s="69">
        <f t="shared" si="17"/>
        <v>0.3961257777777778</v>
      </c>
      <c r="F132" s="69">
        <f t="shared" si="11"/>
        <v>0.25695174999999998</v>
      </c>
      <c r="G132" s="69">
        <f t="shared" si="12"/>
        <v>0.64866202710025878</v>
      </c>
      <c r="H132" s="51">
        <f t="shared" si="13"/>
        <v>0.56288687207093591</v>
      </c>
    </row>
    <row r="133" spans="1:9" ht="23.25" customHeight="1" x14ac:dyDescent="0.2">
      <c r="A133" s="6"/>
    </row>
    <row r="135" spans="1:9" ht="23.25" customHeight="1" x14ac:dyDescent="0.2">
      <c r="A135" s="13"/>
      <c r="B135" s="14"/>
      <c r="C135" s="14"/>
      <c r="D135" s="15"/>
    </row>
    <row r="136" spans="1:9" ht="23.25" customHeight="1" x14ac:dyDescent="0.15">
      <c r="A136" s="9"/>
      <c r="D136" s="10"/>
      <c r="F136" s="124" t="s">
        <v>78</v>
      </c>
      <c r="G136" s="124"/>
      <c r="H136" s="124"/>
      <c r="I136" s="124"/>
    </row>
    <row r="137" spans="1:9" ht="23.25" customHeight="1" x14ac:dyDescent="0.2">
      <c r="A137" s="9"/>
      <c r="D137" s="10"/>
      <c r="F137" s="54" t="s">
        <v>79</v>
      </c>
      <c r="G137" s="71" cm="1">
        <f t="array" ref="G137:H141">LINEST(C118:C132,B118:B132,1,1)</f>
        <v>0.14365621654238467</v>
      </c>
      <c r="H137" s="71">
        <v>0.46354175504827705</v>
      </c>
      <c r="I137" s="2" t="s">
        <v>80</v>
      </c>
    </row>
    <row r="138" spans="1:9" ht="23.25" customHeight="1" x14ac:dyDescent="0.2">
      <c r="A138" s="9"/>
      <c r="D138" s="10"/>
      <c r="F138" s="54" t="s">
        <v>81</v>
      </c>
      <c r="G138" s="71">
        <v>8.6401396390018217E-3</v>
      </c>
      <c r="H138" s="71">
        <v>6.8552506351852519E-3</v>
      </c>
      <c r="I138" s="2" t="s">
        <v>82</v>
      </c>
    </row>
    <row r="139" spans="1:9" ht="23.25" customHeight="1" x14ac:dyDescent="0.2">
      <c r="A139" s="9"/>
      <c r="D139" s="10"/>
      <c r="F139" s="55" t="s">
        <v>83</v>
      </c>
      <c r="G139" s="56">
        <v>0.95508631893229712</v>
      </c>
      <c r="H139" s="79">
        <v>3.9899920127197536E-3</v>
      </c>
      <c r="I139" s="2" t="s">
        <v>84</v>
      </c>
    </row>
    <row r="140" spans="1:9" ht="23.25" customHeight="1" x14ac:dyDescent="0.2">
      <c r="A140" s="9"/>
      <c r="D140" s="10"/>
      <c r="F140" s="54" t="s">
        <v>85</v>
      </c>
      <c r="G140" s="2">
        <v>276.44410012628072</v>
      </c>
      <c r="H140" s="2">
        <v>13</v>
      </c>
      <c r="I140" s="2" t="s">
        <v>86</v>
      </c>
    </row>
    <row r="141" spans="1:9" ht="23.25" customHeight="1" x14ac:dyDescent="0.2">
      <c r="A141" s="9"/>
      <c r="D141" s="10"/>
      <c r="F141" s="54" t="s">
        <v>87</v>
      </c>
      <c r="G141" s="79">
        <v>4.4010000983067659E-3</v>
      </c>
      <c r="H141" s="2">
        <v>2.0696047140037659E-4</v>
      </c>
      <c r="I141" s="2" t="s">
        <v>88</v>
      </c>
    </row>
    <row r="142" spans="1:9" ht="23.25" customHeight="1" x14ac:dyDescent="0.15">
      <c r="A142" s="9"/>
      <c r="D142" s="10"/>
      <c r="F142" s="20"/>
      <c r="G142" s="20"/>
      <c r="H142" s="20"/>
      <c r="I142" s="20"/>
    </row>
    <row r="143" spans="1:9" ht="23.25" customHeight="1" x14ac:dyDescent="0.15">
      <c r="A143" s="9"/>
      <c r="D143" s="10"/>
      <c r="F143" s="16" t="s">
        <v>89</v>
      </c>
      <c r="G143" s="58">
        <f>AVERAGE(C118:C132)</f>
        <v>0.57622689848113873</v>
      </c>
      <c r="H143" s="20"/>
      <c r="I143" s="20"/>
    </row>
    <row r="144" spans="1:9" ht="23.25" customHeight="1" x14ac:dyDescent="0.15">
      <c r="A144" s="9"/>
      <c r="D144" s="10"/>
      <c r="F144" s="16" t="s">
        <v>90</v>
      </c>
      <c r="G144" s="58">
        <f>VARPA(B118:B132)*B147</f>
        <v>0.21325662397774939</v>
      </c>
      <c r="H144" s="20"/>
      <c r="I144" s="20"/>
    </row>
    <row r="145" spans="1:9" ht="23.25" customHeight="1" x14ac:dyDescent="0.15">
      <c r="A145" s="9"/>
      <c r="D145" s="10"/>
      <c r="F145" s="16"/>
      <c r="G145" s="58"/>
      <c r="H145" s="20"/>
      <c r="I145" s="20"/>
    </row>
    <row r="146" spans="1:9" ht="23.25" customHeight="1" x14ac:dyDescent="0.15">
      <c r="A146" s="8"/>
      <c r="B146" s="11"/>
      <c r="C146" s="11"/>
      <c r="D146" s="12"/>
      <c r="G146" s="57"/>
      <c r="H146" s="20"/>
      <c r="I146" s="20"/>
    </row>
    <row r="147" spans="1:9" ht="21" customHeight="1" x14ac:dyDescent="0.2">
      <c r="A147" s="7" t="s">
        <v>5</v>
      </c>
      <c r="B147" s="7">
        <f>COUNT(B118:B132)</f>
        <v>15</v>
      </c>
    </row>
    <row r="148" spans="1:9" ht="21" customHeight="1" x14ac:dyDescent="0.2">
      <c r="A148" s="7" t="s">
        <v>46</v>
      </c>
      <c r="B148" s="70">
        <f>G137</f>
        <v>0.14365621654238467</v>
      </c>
      <c r="C148" s="1" t="s">
        <v>48</v>
      </c>
      <c r="D148" s="72">
        <f>H139/SQRT(G144)</f>
        <v>8.6401396390018669E-3</v>
      </c>
    </row>
    <row r="149" spans="1:9" ht="21" customHeight="1" x14ac:dyDescent="0.2">
      <c r="A149" s="7" t="s">
        <v>47</v>
      </c>
      <c r="B149" s="70">
        <f>H137</f>
        <v>0.46354175504827705</v>
      </c>
      <c r="C149" s="1" t="s">
        <v>49</v>
      </c>
      <c r="D149" s="72">
        <f>H139*SQRT(1/B147+AVERAGE(B118:B132)^2/G144)</f>
        <v>6.8552506351852891E-3</v>
      </c>
    </row>
    <row r="151" spans="1:9" s="20" customFormat="1" ht="15" customHeight="1" x14ac:dyDescent="0.15">
      <c r="A151" s="16" t="s">
        <v>53</v>
      </c>
    </row>
    <row r="152" spans="1:9" s="20" customFormat="1" ht="60" customHeight="1" x14ac:dyDescent="0.15">
      <c r="A152" s="115" t="s">
        <v>129</v>
      </c>
      <c r="B152" s="115"/>
      <c r="C152" s="115"/>
      <c r="D152" s="115"/>
      <c r="E152" s="115"/>
      <c r="F152" s="115"/>
    </row>
    <row r="154" spans="1:9" ht="23.25" customHeight="1" x14ac:dyDescent="0.2">
      <c r="A154" s="6" t="s">
        <v>63</v>
      </c>
    </row>
    <row r="155" spans="1:9" ht="23.25" customHeight="1" x14ac:dyDescent="0.2">
      <c r="A155" s="6"/>
    </row>
    <row r="156" spans="1:9" ht="23.25" customHeight="1" x14ac:dyDescent="0.2">
      <c r="A156" s="7" t="s">
        <v>27</v>
      </c>
      <c r="B156" s="7" t="s">
        <v>41</v>
      </c>
      <c r="C156" s="7" t="s">
        <v>40</v>
      </c>
      <c r="D156" s="1" t="s">
        <v>68</v>
      </c>
      <c r="E156" s="2" t="s">
        <v>70</v>
      </c>
      <c r="F156" s="2" t="s">
        <v>71</v>
      </c>
      <c r="G156" s="2" t="s">
        <v>72</v>
      </c>
      <c r="H156" s="2" t="s">
        <v>73</v>
      </c>
    </row>
    <row r="157" spans="1:9" ht="23.25" customHeight="1" x14ac:dyDescent="0.2">
      <c r="A157" s="48">
        <v>550</v>
      </c>
      <c r="B157" s="59">
        <f>G157</f>
        <v>1.057560972442495</v>
      </c>
      <c r="C157" s="40">
        <f>H157</f>
        <v>0.82695796428882262</v>
      </c>
      <c r="D157" s="35">
        <f>I53</f>
        <v>0.297182</v>
      </c>
      <c r="E157" s="69">
        <f t="shared" ref="E157:E171" si="18">J96</f>
        <v>0.35936772222222224</v>
      </c>
      <c r="F157" s="69">
        <f t="shared" ref="F157:F171" si="19">E96</f>
        <v>0.38005327777777781</v>
      </c>
      <c r="G157" s="69">
        <f t="shared" ref="G157:G171" si="20">F157/E157</f>
        <v>1.057560972442495</v>
      </c>
      <c r="H157" s="51">
        <f t="shared" ref="H157:H171" si="21">D157/E157</f>
        <v>0.82695796428882262</v>
      </c>
    </row>
    <row r="158" spans="1:9" ht="23.25" customHeight="1" x14ac:dyDescent="0.2">
      <c r="A158" s="26">
        <v>545</v>
      </c>
      <c r="B158" s="59">
        <f t="shared" ref="B158:B171" si="22">G158</f>
        <v>0.99636021489650051</v>
      </c>
      <c r="C158" s="40">
        <f t="shared" ref="C158:C171" si="23">H158</f>
        <v>0.81761404711063934</v>
      </c>
      <c r="D158" s="35">
        <f t="shared" ref="D158:D171" si="24">I54</f>
        <v>0.326104</v>
      </c>
      <c r="E158" s="69">
        <f t="shared" si="18"/>
        <v>0.39884833333333336</v>
      </c>
      <c r="F158" s="69">
        <f t="shared" si="19"/>
        <v>0.39739661111111108</v>
      </c>
      <c r="G158" s="69">
        <f t="shared" si="20"/>
        <v>0.99636021489650051</v>
      </c>
      <c r="H158" s="51">
        <f t="shared" si="21"/>
        <v>0.81761404711063934</v>
      </c>
    </row>
    <row r="159" spans="1:9" ht="23.25" customHeight="1" x14ac:dyDescent="0.2">
      <c r="A159" s="26">
        <v>540</v>
      </c>
      <c r="B159" s="59">
        <f t="shared" si="22"/>
        <v>0.89323126154716548</v>
      </c>
      <c r="C159" s="40">
        <f t="shared" si="23"/>
        <v>0.77137759735160372</v>
      </c>
      <c r="D159" s="35">
        <f t="shared" si="24"/>
        <v>0.35388999999999998</v>
      </c>
      <c r="E159" s="69">
        <f t="shared" si="18"/>
        <v>0.45877661111111112</v>
      </c>
      <c r="F159" s="69">
        <f t="shared" si="19"/>
        <v>0.40979361111111112</v>
      </c>
      <c r="G159" s="69">
        <f t="shared" si="20"/>
        <v>0.89323126154716548</v>
      </c>
      <c r="H159" s="51">
        <f t="shared" si="21"/>
        <v>0.77137759735160372</v>
      </c>
    </row>
    <row r="160" spans="1:9" ht="23.25" customHeight="1" x14ac:dyDescent="0.2">
      <c r="A160" s="26">
        <v>535</v>
      </c>
      <c r="B160" s="59">
        <f t="shared" si="22"/>
        <v>0.83503666787858366</v>
      </c>
      <c r="C160" s="40">
        <f t="shared" si="23"/>
        <v>0.75111400296180697</v>
      </c>
      <c r="D160" s="35">
        <f t="shared" si="24"/>
        <v>0.37645499999999998</v>
      </c>
      <c r="E160" s="69">
        <f t="shared" si="18"/>
        <v>0.50119555555555551</v>
      </c>
      <c r="F160" s="69">
        <f t="shared" si="19"/>
        <v>0.41851666666666665</v>
      </c>
      <c r="G160" s="69">
        <f t="shared" si="20"/>
        <v>0.83503666787858366</v>
      </c>
      <c r="H160" s="51">
        <f t="shared" si="21"/>
        <v>0.75111400296180697</v>
      </c>
    </row>
    <row r="161" spans="1:9" ht="23.25" customHeight="1" x14ac:dyDescent="0.2">
      <c r="A161" s="26">
        <v>530</v>
      </c>
      <c r="B161" s="59">
        <f t="shared" si="22"/>
        <v>0.80811054047247788</v>
      </c>
      <c r="C161" s="40">
        <f t="shared" si="23"/>
        <v>0.74270990254697433</v>
      </c>
      <c r="D161" s="35">
        <f t="shared" si="24"/>
        <v>0.39011699999999999</v>
      </c>
      <c r="E161" s="69">
        <f t="shared" si="18"/>
        <v>0.52526161111111103</v>
      </c>
      <c r="F161" s="69">
        <f t="shared" si="19"/>
        <v>0.4244694444444444</v>
      </c>
      <c r="G161" s="69">
        <f t="shared" si="20"/>
        <v>0.80811054047247788</v>
      </c>
      <c r="H161" s="51">
        <f t="shared" si="21"/>
        <v>0.74270990254697433</v>
      </c>
    </row>
    <row r="162" spans="1:9" ht="23.25" customHeight="1" x14ac:dyDescent="0.2">
      <c r="A162" s="26">
        <v>525</v>
      </c>
      <c r="B162" s="59">
        <f t="shared" si="22"/>
        <v>0.80330720529654587</v>
      </c>
      <c r="C162" s="40">
        <f t="shared" si="23"/>
        <v>0.74265552697347859</v>
      </c>
      <c r="D162" s="35">
        <f t="shared" si="24"/>
        <v>0.39472099999999999</v>
      </c>
      <c r="E162" s="69">
        <f t="shared" si="18"/>
        <v>0.53149944444444441</v>
      </c>
      <c r="F162" s="69">
        <f t="shared" si="19"/>
        <v>0.42695733333333336</v>
      </c>
      <c r="G162" s="69">
        <f t="shared" si="20"/>
        <v>0.80330720529654587</v>
      </c>
      <c r="H162" s="51">
        <f t="shared" si="21"/>
        <v>0.74265552697347859</v>
      </c>
    </row>
    <row r="163" spans="1:9" ht="23.25" customHeight="1" x14ac:dyDescent="0.2">
      <c r="A163" s="26">
        <v>520</v>
      </c>
      <c r="B163" s="59">
        <f t="shared" si="22"/>
        <v>0.79929669096029021</v>
      </c>
      <c r="C163" s="40">
        <f t="shared" si="23"/>
        <v>0.74358154578237123</v>
      </c>
      <c r="D163" s="35">
        <f t="shared" si="24"/>
        <v>0.39447599999999999</v>
      </c>
      <c r="E163" s="69">
        <f t="shared" si="18"/>
        <v>0.53050805555555547</v>
      </c>
      <c r="F163" s="69">
        <f t="shared" si="19"/>
        <v>0.42403333333333332</v>
      </c>
      <c r="G163" s="69">
        <f t="shared" si="20"/>
        <v>0.79929669096029021</v>
      </c>
      <c r="H163" s="51">
        <f t="shared" si="21"/>
        <v>0.74358154578237123</v>
      </c>
    </row>
    <row r="164" spans="1:9" ht="23.25" customHeight="1" x14ac:dyDescent="0.2">
      <c r="A164" s="26">
        <v>515</v>
      </c>
      <c r="B164" s="59">
        <f t="shared" si="22"/>
        <v>0.78189761951468573</v>
      </c>
      <c r="C164" s="40">
        <f t="shared" si="23"/>
        <v>0.73814765999131349</v>
      </c>
      <c r="D164" s="35">
        <f t="shared" si="24"/>
        <v>0.39258900000000002</v>
      </c>
      <c r="E164" s="69">
        <f t="shared" si="18"/>
        <v>0.53185700000000002</v>
      </c>
      <c r="F164" s="69">
        <f t="shared" si="19"/>
        <v>0.41585772222222223</v>
      </c>
      <c r="G164" s="69">
        <f t="shared" si="20"/>
        <v>0.78189761951468573</v>
      </c>
      <c r="H164" s="51">
        <f t="shared" si="21"/>
        <v>0.73814765999131349</v>
      </c>
    </row>
    <row r="165" spans="1:9" ht="23.25" customHeight="1" x14ac:dyDescent="0.2">
      <c r="A165" s="26">
        <v>510</v>
      </c>
      <c r="B165" s="59">
        <f t="shared" si="22"/>
        <v>0.75094499562194861</v>
      </c>
      <c r="C165" s="40">
        <f t="shared" si="23"/>
        <v>0.72745552718996809</v>
      </c>
      <c r="D165" s="35">
        <f t="shared" si="24"/>
        <v>0.38922899999999999</v>
      </c>
      <c r="E165" s="69">
        <f t="shared" si="18"/>
        <v>0.53505538888888882</v>
      </c>
      <c r="F165" s="69">
        <f t="shared" si="19"/>
        <v>0.40179716666666665</v>
      </c>
      <c r="G165" s="69">
        <f t="shared" si="20"/>
        <v>0.75094499562194861</v>
      </c>
      <c r="H165" s="51">
        <f t="shared" si="21"/>
        <v>0.72745552718996809</v>
      </c>
    </row>
    <row r="166" spans="1:9" ht="23.25" customHeight="1" x14ac:dyDescent="0.2">
      <c r="A166" s="26">
        <v>505</v>
      </c>
      <c r="B166" s="59">
        <f t="shared" si="22"/>
        <v>0.71647419902875042</v>
      </c>
      <c r="C166" s="40">
        <f t="shared" si="23"/>
        <v>0.71490466992797808</v>
      </c>
      <c r="D166" s="35">
        <f t="shared" si="24"/>
        <v>0.38248500000000002</v>
      </c>
      <c r="E166" s="69">
        <f t="shared" si="18"/>
        <v>0.535015388888889</v>
      </c>
      <c r="F166" s="69">
        <f t="shared" si="19"/>
        <v>0.38332472222222219</v>
      </c>
      <c r="G166" s="69">
        <f t="shared" si="20"/>
        <v>0.71647419902875042</v>
      </c>
      <c r="H166" s="51">
        <f t="shared" si="21"/>
        <v>0.71490466992797808</v>
      </c>
    </row>
    <row r="167" spans="1:9" ht="23.25" customHeight="1" x14ac:dyDescent="0.2">
      <c r="A167" s="26">
        <v>500</v>
      </c>
      <c r="B167" s="59">
        <f t="shared" si="22"/>
        <v>0.68759118574618894</v>
      </c>
      <c r="C167" s="40">
        <f t="shared" si="23"/>
        <v>0.70437806561059357</v>
      </c>
      <c r="D167" s="35">
        <f t="shared" si="24"/>
        <v>0.370971</v>
      </c>
      <c r="E167" s="69">
        <f t="shared" si="18"/>
        <v>0.52666461111111118</v>
      </c>
      <c r="F167" s="69">
        <f t="shared" si="19"/>
        <v>0.36212994444444441</v>
      </c>
      <c r="G167" s="69">
        <f t="shared" si="20"/>
        <v>0.68759118574618894</v>
      </c>
      <c r="H167" s="51">
        <f t="shared" si="21"/>
        <v>0.70437806561059357</v>
      </c>
    </row>
    <row r="168" spans="1:9" ht="23.25" customHeight="1" x14ac:dyDescent="0.2">
      <c r="A168" s="26">
        <v>495</v>
      </c>
      <c r="B168" s="59">
        <f t="shared" si="22"/>
        <v>0.66959073109868805</v>
      </c>
      <c r="C168" s="40">
        <f t="shared" si="23"/>
        <v>0.69851932515586246</v>
      </c>
      <c r="D168" s="35">
        <f t="shared" si="24"/>
        <v>0.35401199999999999</v>
      </c>
      <c r="E168" s="69">
        <f t="shared" si="18"/>
        <v>0.50680344444444447</v>
      </c>
      <c r="F168" s="69">
        <f t="shared" si="19"/>
        <v>0.33935088888888892</v>
      </c>
      <c r="G168" s="69">
        <f t="shared" si="20"/>
        <v>0.66959073109868805</v>
      </c>
      <c r="H168" s="51">
        <f t="shared" si="21"/>
        <v>0.69851932515586246</v>
      </c>
    </row>
    <row r="169" spans="1:9" ht="23.25" customHeight="1" x14ac:dyDescent="0.2">
      <c r="A169" s="26">
        <v>490</v>
      </c>
      <c r="B169" s="59">
        <f t="shared" si="22"/>
        <v>0.66132350096400949</v>
      </c>
      <c r="C169" s="40">
        <f t="shared" si="23"/>
        <v>0.69583930177554221</v>
      </c>
      <c r="D169" s="35">
        <f t="shared" si="24"/>
        <v>0.330733</v>
      </c>
      <c r="E169" s="69">
        <f t="shared" si="18"/>
        <v>0.47530083333333328</v>
      </c>
      <c r="F169" s="69">
        <f t="shared" si="19"/>
        <v>0.31432761111111113</v>
      </c>
      <c r="G169" s="69">
        <f t="shared" si="20"/>
        <v>0.66132350096400949</v>
      </c>
      <c r="H169" s="51">
        <f t="shared" si="21"/>
        <v>0.69583930177554221</v>
      </c>
    </row>
    <row r="170" spans="1:9" ht="23.25" customHeight="1" x14ac:dyDescent="0.2">
      <c r="A170" s="26">
        <v>485</v>
      </c>
      <c r="B170" s="59">
        <f t="shared" si="22"/>
        <v>0.65673823596354297</v>
      </c>
      <c r="C170" s="40">
        <f t="shared" si="23"/>
        <v>0.69361680310010487</v>
      </c>
      <c r="D170" s="35">
        <f t="shared" si="24"/>
        <v>0.30288399999999999</v>
      </c>
      <c r="E170" s="69">
        <f t="shared" si="18"/>
        <v>0.4366733888888889</v>
      </c>
      <c r="F170" s="69">
        <f t="shared" si="19"/>
        <v>0.28678011111111107</v>
      </c>
      <c r="G170" s="69">
        <f t="shared" si="20"/>
        <v>0.65673823596354297</v>
      </c>
      <c r="H170" s="51">
        <f t="shared" si="21"/>
        <v>0.69361680310010487</v>
      </c>
    </row>
    <row r="171" spans="1:9" ht="23.25" customHeight="1" thickBot="1" x14ac:dyDescent="0.25">
      <c r="A171" s="27">
        <v>480</v>
      </c>
      <c r="B171" s="59">
        <f t="shared" si="22"/>
        <v>0.64866202710025878</v>
      </c>
      <c r="C171" s="40">
        <f t="shared" si="23"/>
        <v>0.68858937060394954</v>
      </c>
      <c r="D171" s="35">
        <f t="shared" si="24"/>
        <v>0.27276800000000001</v>
      </c>
      <c r="E171" s="69">
        <f t="shared" si="18"/>
        <v>0.3961257777777778</v>
      </c>
      <c r="F171" s="69">
        <f t="shared" si="19"/>
        <v>0.25695174999999998</v>
      </c>
      <c r="G171" s="69">
        <f t="shared" si="20"/>
        <v>0.64866202710025878</v>
      </c>
      <c r="H171" s="51">
        <f t="shared" si="21"/>
        <v>0.68858937060394954</v>
      </c>
    </row>
    <row r="172" spans="1:9" ht="23.25" customHeight="1" x14ac:dyDescent="0.2">
      <c r="A172" s="6"/>
    </row>
    <row r="174" spans="1:9" ht="23.25" customHeight="1" x14ac:dyDescent="0.2">
      <c r="A174" s="13"/>
      <c r="B174" s="14"/>
      <c r="C174" s="14"/>
      <c r="D174" s="15"/>
    </row>
    <row r="175" spans="1:9" ht="23.25" customHeight="1" x14ac:dyDescent="0.15">
      <c r="A175" s="9"/>
      <c r="D175" s="10"/>
      <c r="F175" s="124" t="s">
        <v>78</v>
      </c>
      <c r="G175" s="124"/>
      <c r="H175" s="124"/>
      <c r="I175" s="124"/>
    </row>
    <row r="176" spans="1:9" ht="23.25" customHeight="1" x14ac:dyDescent="0.2">
      <c r="A176" s="9"/>
      <c r="D176" s="10"/>
      <c r="F176" s="54" t="s">
        <v>79</v>
      </c>
      <c r="G176" s="71" cm="1">
        <f t="array" ref="G176:H180">LINEST(C157:C171,B157:B171,1,1)</f>
        <v>0.34242836926345604</v>
      </c>
      <c r="H176" s="71">
        <v>0.46856039700159191</v>
      </c>
      <c r="I176" s="2" t="s">
        <v>80</v>
      </c>
    </row>
    <row r="177" spans="1:9" ht="23.25" customHeight="1" x14ac:dyDescent="0.2">
      <c r="A177" s="9"/>
      <c r="D177" s="10"/>
      <c r="F177" s="54" t="s">
        <v>81</v>
      </c>
      <c r="G177" s="71">
        <v>6.5565325931647139E-3</v>
      </c>
      <c r="H177" s="71">
        <v>5.2020772929426652E-3</v>
      </c>
      <c r="I177" s="2" t="s">
        <v>82</v>
      </c>
    </row>
    <row r="178" spans="1:9" ht="23.25" customHeight="1" x14ac:dyDescent="0.2">
      <c r="A178" s="9"/>
      <c r="D178" s="10"/>
      <c r="F178" s="55" t="s">
        <v>83</v>
      </c>
      <c r="G178" s="56">
        <v>0.99525662562080108</v>
      </c>
      <c r="H178" s="71">
        <v>3.0277881806185965E-3</v>
      </c>
      <c r="I178" s="2" t="s">
        <v>84</v>
      </c>
    </row>
    <row r="179" spans="1:9" ht="23.25" customHeight="1" x14ac:dyDescent="0.2">
      <c r="A179" s="9"/>
      <c r="D179" s="10"/>
      <c r="F179" s="54" t="s">
        <v>85</v>
      </c>
      <c r="G179" s="2">
        <v>2727.6649698595825</v>
      </c>
      <c r="H179" s="2">
        <v>13</v>
      </c>
      <c r="I179" s="2" t="s">
        <v>86</v>
      </c>
    </row>
    <row r="180" spans="1:9" ht="23.25" customHeight="1" x14ac:dyDescent="0.2">
      <c r="A180" s="9"/>
      <c r="D180" s="10"/>
      <c r="F180" s="54" t="s">
        <v>87</v>
      </c>
      <c r="G180" s="71">
        <v>2.5005872066303676E-2</v>
      </c>
      <c r="H180" s="2">
        <v>1.1917751646701773E-4</v>
      </c>
      <c r="I180" s="2" t="s">
        <v>88</v>
      </c>
    </row>
    <row r="181" spans="1:9" ht="23.25" customHeight="1" x14ac:dyDescent="0.15">
      <c r="A181" s="9"/>
      <c r="D181" s="10"/>
      <c r="F181" s="20"/>
      <c r="G181" s="20"/>
      <c r="H181" s="20"/>
      <c r="I181" s="20"/>
    </row>
    <row r="182" spans="1:9" ht="23.25" customHeight="1" x14ac:dyDescent="0.15">
      <c r="A182" s="9"/>
      <c r="D182" s="10"/>
      <c r="F182" s="16" t="s">
        <v>89</v>
      </c>
      <c r="G182" s="58">
        <f>AVERAGE(C157:C171)</f>
        <v>0.73716408735806727</v>
      </c>
      <c r="H182" s="20"/>
      <c r="I182" s="20"/>
    </row>
    <row r="183" spans="1:9" ht="23.25" customHeight="1" x14ac:dyDescent="0.15">
      <c r="A183" s="9"/>
      <c r="D183" s="10"/>
      <c r="F183" s="16" t="s">
        <v>90</v>
      </c>
      <c r="G183" s="58">
        <f>VARPA(B157:B171)*B186</f>
        <v>0.21325662397774939</v>
      </c>
      <c r="H183" s="20"/>
      <c r="I183" s="20"/>
    </row>
    <row r="184" spans="1:9" ht="23.25" customHeight="1" x14ac:dyDescent="0.2">
      <c r="A184" s="9"/>
      <c r="D184" s="10"/>
    </row>
    <row r="185" spans="1:9" ht="23.25" customHeight="1" x14ac:dyDescent="0.2">
      <c r="A185" s="8"/>
      <c r="B185" s="11"/>
      <c r="C185" s="11"/>
      <c r="D185" s="12"/>
    </row>
    <row r="186" spans="1:9" ht="21" customHeight="1" x14ac:dyDescent="0.2">
      <c r="A186" s="7" t="s">
        <v>5</v>
      </c>
      <c r="B186" s="7">
        <f>COUNT(B157:B171)</f>
        <v>15</v>
      </c>
    </row>
    <row r="187" spans="1:9" ht="21" customHeight="1" x14ac:dyDescent="0.2">
      <c r="A187" s="7" t="s">
        <v>46</v>
      </c>
      <c r="B187" s="70">
        <f>G176</f>
        <v>0.34242836926345604</v>
      </c>
      <c r="C187" s="1" t="s">
        <v>48</v>
      </c>
      <c r="D187" s="72">
        <f>H178/SQRT(G183)</f>
        <v>6.5565325931647486E-3</v>
      </c>
    </row>
    <row r="188" spans="1:9" ht="21" customHeight="1" x14ac:dyDescent="0.2">
      <c r="A188" s="7" t="s">
        <v>47</v>
      </c>
      <c r="B188" s="70">
        <f>H176</f>
        <v>0.46856039700159191</v>
      </c>
      <c r="C188" s="1" t="s">
        <v>49</v>
      </c>
      <c r="D188" s="72">
        <f>H178*SQRT(1/B186+AVERAGE(B157:B171)^2/G183)</f>
        <v>5.2020772929426929E-3</v>
      </c>
    </row>
    <row r="190" spans="1:9" s="20" customFormat="1" ht="15" customHeight="1" x14ac:dyDescent="0.15">
      <c r="A190" s="16" t="s">
        <v>53</v>
      </c>
    </row>
    <row r="191" spans="1:9" s="20" customFormat="1" ht="60" customHeight="1" x14ac:dyDescent="0.15">
      <c r="A191" s="119" t="s">
        <v>116</v>
      </c>
      <c r="B191" s="119"/>
      <c r="C191" s="119"/>
      <c r="D191" s="119"/>
      <c r="E191" s="119"/>
      <c r="F191" s="119"/>
    </row>
    <row r="193" spans="1:8" ht="23.25" customHeight="1" x14ac:dyDescent="0.2">
      <c r="A193" s="6" t="s">
        <v>45</v>
      </c>
    </row>
    <row r="194" spans="1:8" ht="23.25" customHeight="1" x14ac:dyDescent="0.2">
      <c r="A194" s="6"/>
    </row>
    <row r="195" spans="1:8" ht="23.25" customHeight="1" x14ac:dyDescent="0.2">
      <c r="A195" s="7" t="s">
        <v>27</v>
      </c>
      <c r="B195" s="7" t="s">
        <v>41</v>
      </c>
      <c r="C195" s="7" t="s">
        <v>40</v>
      </c>
      <c r="D195" s="1" t="s">
        <v>68</v>
      </c>
      <c r="E195" s="2" t="s">
        <v>70</v>
      </c>
      <c r="F195" s="2" t="s">
        <v>71</v>
      </c>
      <c r="G195" s="2" t="s">
        <v>72</v>
      </c>
      <c r="H195" s="2" t="s">
        <v>73</v>
      </c>
    </row>
    <row r="196" spans="1:8" ht="23.25" customHeight="1" x14ac:dyDescent="0.2">
      <c r="A196" s="48">
        <v>550</v>
      </c>
      <c r="B196" s="7">
        <f>G196</f>
        <v>1.057560972442495</v>
      </c>
      <c r="C196" s="7">
        <f>H196</f>
        <v>0.62541788285876787</v>
      </c>
      <c r="D196" s="29">
        <f>H53</f>
        <v>0.22475500000000001</v>
      </c>
      <c r="E196" s="51">
        <f t="shared" ref="E196:E210" si="25">J96</f>
        <v>0.35936772222222224</v>
      </c>
      <c r="F196" s="51">
        <f t="shared" ref="F196:F210" si="26">E96</f>
        <v>0.38005327777777781</v>
      </c>
      <c r="G196" s="2">
        <f t="shared" ref="G196:G210" si="27">F196/E196</f>
        <v>1.057560972442495</v>
      </c>
      <c r="H196" s="2">
        <f>D196/E196</f>
        <v>0.62541788285876787</v>
      </c>
    </row>
    <row r="197" spans="1:8" ht="23.25" customHeight="1" x14ac:dyDescent="0.2">
      <c r="A197" s="26">
        <v>545</v>
      </c>
      <c r="B197" s="7">
        <f t="shared" ref="B197:B210" si="28">G197</f>
        <v>0.99636021489650051</v>
      </c>
      <c r="C197" s="7">
        <f t="shared" ref="C197:C210" si="29">H197</f>
        <v>0.60676447605397199</v>
      </c>
      <c r="D197" s="29">
        <f t="shared" ref="D197:D210" si="30">H54</f>
        <v>0.242007</v>
      </c>
      <c r="E197" s="51">
        <f t="shared" si="25"/>
        <v>0.39884833333333336</v>
      </c>
      <c r="F197" s="51">
        <f t="shared" si="26"/>
        <v>0.39739661111111108</v>
      </c>
      <c r="G197" s="2">
        <f t="shared" si="27"/>
        <v>0.99636021489650051</v>
      </c>
      <c r="H197" s="2">
        <f t="shared" ref="H197:H210" si="31">D197/E197</f>
        <v>0.60676447605397199</v>
      </c>
    </row>
    <row r="198" spans="1:8" ht="23.25" customHeight="1" x14ac:dyDescent="0.2">
      <c r="A198" s="26">
        <v>540</v>
      </c>
      <c r="B198" s="7">
        <f t="shared" si="28"/>
        <v>0.89323126154716548</v>
      </c>
      <c r="C198" s="7">
        <f t="shared" si="29"/>
        <v>0.56144318119481773</v>
      </c>
      <c r="D198" s="29">
        <f t="shared" si="30"/>
        <v>0.257577</v>
      </c>
      <c r="E198" s="51">
        <f t="shared" si="25"/>
        <v>0.45877661111111112</v>
      </c>
      <c r="F198" s="51">
        <f t="shared" si="26"/>
        <v>0.40979361111111112</v>
      </c>
      <c r="G198" s="2">
        <f t="shared" si="27"/>
        <v>0.89323126154716548</v>
      </c>
      <c r="H198" s="2">
        <f t="shared" si="31"/>
        <v>0.56144318119481773</v>
      </c>
    </row>
    <row r="199" spans="1:8" ht="23.25" customHeight="1" x14ac:dyDescent="0.2">
      <c r="A199" s="26">
        <v>535</v>
      </c>
      <c r="B199" s="7">
        <f t="shared" si="28"/>
        <v>0.83503666787858366</v>
      </c>
      <c r="C199" s="7">
        <f t="shared" si="29"/>
        <v>0.53887748406033587</v>
      </c>
      <c r="D199" s="29">
        <f t="shared" si="30"/>
        <v>0.27008300000000002</v>
      </c>
      <c r="E199" s="51">
        <f t="shared" si="25"/>
        <v>0.50119555555555551</v>
      </c>
      <c r="F199" s="51">
        <f t="shared" si="26"/>
        <v>0.41851666666666665</v>
      </c>
      <c r="G199" s="2">
        <f t="shared" si="27"/>
        <v>0.83503666787858366</v>
      </c>
      <c r="H199" s="2">
        <f t="shared" si="31"/>
        <v>0.53887748406033587</v>
      </c>
    </row>
    <row r="200" spans="1:8" ht="23.25" customHeight="1" x14ac:dyDescent="0.2">
      <c r="A200" s="26">
        <v>530</v>
      </c>
      <c r="B200" s="7">
        <f t="shared" si="28"/>
        <v>0.80811054047247788</v>
      </c>
      <c r="C200" s="7">
        <f t="shared" si="29"/>
        <v>0.52859183714697089</v>
      </c>
      <c r="D200" s="29">
        <f t="shared" si="30"/>
        <v>0.27764899999999998</v>
      </c>
      <c r="E200" s="51">
        <f t="shared" si="25"/>
        <v>0.52526161111111103</v>
      </c>
      <c r="F200" s="51">
        <f t="shared" si="26"/>
        <v>0.4244694444444444</v>
      </c>
      <c r="G200" s="2">
        <f t="shared" si="27"/>
        <v>0.80811054047247788</v>
      </c>
      <c r="H200" s="2">
        <f t="shared" si="31"/>
        <v>0.52859183714697089</v>
      </c>
    </row>
    <row r="201" spans="1:8" ht="23.25" customHeight="1" x14ac:dyDescent="0.2">
      <c r="A201" s="26">
        <v>525</v>
      </c>
      <c r="B201" s="7">
        <f t="shared" si="28"/>
        <v>0.80330720529654587</v>
      </c>
      <c r="C201" s="7">
        <f t="shared" si="29"/>
        <v>0.52713131298349847</v>
      </c>
      <c r="D201" s="29">
        <f t="shared" si="30"/>
        <v>0.28016999999999997</v>
      </c>
      <c r="E201" s="51">
        <f t="shared" si="25"/>
        <v>0.53149944444444441</v>
      </c>
      <c r="F201" s="51">
        <f t="shared" si="26"/>
        <v>0.42695733333333336</v>
      </c>
      <c r="G201" s="2">
        <f t="shared" si="27"/>
        <v>0.80330720529654587</v>
      </c>
      <c r="H201" s="2">
        <f t="shared" si="31"/>
        <v>0.52713131298349847</v>
      </c>
    </row>
    <row r="202" spans="1:8" ht="23.25" customHeight="1" x14ac:dyDescent="0.2">
      <c r="A202" s="26">
        <v>520</v>
      </c>
      <c r="B202" s="7">
        <f t="shared" si="28"/>
        <v>0.79929669096029021</v>
      </c>
      <c r="C202" s="7">
        <f t="shared" si="29"/>
        <v>0.52621067121716136</v>
      </c>
      <c r="D202" s="29">
        <f t="shared" si="30"/>
        <v>0.27915899999999999</v>
      </c>
      <c r="E202" s="51">
        <f t="shared" si="25"/>
        <v>0.53050805555555547</v>
      </c>
      <c r="F202" s="51">
        <f t="shared" si="26"/>
        <v>0.42403333333333332</v>
      </c>
      <c r="G202" s="2">
        <f t="shared" si="27"/>
        <v>0.79929669096029021</v>
      </c>
      <c r="H202" s="2">
        <f t="shared" si="31"/>
        <v>0.52621067121716136</v>
      </c>
    </row>
    <row r="203" spans="1:8" ht="23.25" customHeight="1" x14ac:dyDescent="0.2">
      <c r="A203" s="26">
        <v>515</v>
      </c>
      <c r="B203" s="7">
        <f t="shared" si="28"/>
        <v>0.78189761951468573</v>
      </c>
      <c r="C203" s="7">
        <f t="shared" si="29"/>
        <v>0.51916210560357379</v>
      </c>
      <c r="D203" s="29">
        <f t="shared" si="30"/>
        <v>0.27611999999999998</v>
      </c>
      <c r="E203" s="51">
        <f t="shared" si="25"/>
        <v>0.53185700000000002</v>
      </c>
      <c r="F203" s="51">
        <f t="shared" si="26"/>
        <v>0.41585772222222223</v>
      </c>
      <c r="G203" s="2">
        <f t="shared" si="27"/>
        <v>0.78189761951468573</v>
      </c>
      <c r="H203" s="2">
        <f t="shared" si="31"/>
        <v>0.51916210560357379</v>
      </c>
    </row>
    <row r="204" spans="1:8" ht="23.25" customHeight="1" x14ac:dyDescent="0.2">
      <c r="A204" s="26">
        <v>510</v>
      </c>
      <c r="B204" s="7">
        <f t="shared" si="28"/>
        <v>0.75094499562194861</v>
      </c>
      <c r="C204" s="7">
        <f t="shared" si="29"/>
        <v>0.50670828783354416</v>
      </c>
      <c r="D204" s="29">
        <f t="shared" si="30"/>
        <v>0.271117</v>
      </c>
      <c r="E204" s="51">
        <f t="shared" si="25"/>
        <v>0.53505538888888882</v>
      </c>
      <c r="F204" s="51">
        <f t="shared" si="26"/>
        <v>0.40179716666666665</v>
      </c>
      <c r="G204" s="2">
        <f t="shared" si="27"/>
        <v>0.75094499562194861</v>
      </c>
      <c r="H204" s="2">
        <f t="shared" si="31"/>
        <v>0.50670828783354416</v>
      </c>
    </row>
    <row r="205" spans="1:8" ht="23.25" customHeight="1" x14ac:dyDescent="0.2">
      <c r="A205" s="26">
        <v>505</v>
      </c>
      <c r="B205" s="7">
        <f t="shared" si="28"/>
        <v>0.71647419902875042</v>
      </c>
      <c r="C205" s="7">
        <f t="shared" si="29"/>
        <v>0.49266620264401517</v>
      </c>
      <c r="D205" s="29">
        <f t="shared" si="30"/>
        <v>0.26358399999999998</v>
      </c>
      <c r="E205" s="51">
        <f t="shared" si="25"/>
        <v>0.535015388888889</v>
      </c>
      <c r="F205" s="51">
        <f t="shared" si="26"/>
        <v>0.38332472222222219</v>
      </c>
      <c r="G205" s="2">
        <f t="shared" si="27"/>
        <v>0.71647419902875042</v>
      </c>
      <c r="H205" s="2">
        <f t="shared" si="31"/>
        <v>0.49266620264401517</v>
      </c>
    </row>
    <row r="206" spans="1:8" ht="23.25" customHeight="1" x14ac:dyDescent="0.2">
      <c r="A206" s="26">
        <v>500</v>
      </c>
      <c r="B206" s="7">
        <f t="shared" si="28"/>
        <v>0.68759118574618894</v>
      </c>
      <c r="C206" s="7">
        <f t="shared" si="29"/>
        <v>0.48095883918534271</v>
      </c>
      <c r="D206" s="29">
        <f t="shared" si="30"/>
        <v>0.25330399999999997</v>
      </c>
      <c r="E206" s="51">
        <f t="shared" si="25"/>
        <v>0.52666461111111118</v>
      </c>
      <c r="F206" s="51">
        <f t="shared" si="26"/>
        <v>0.36212994444444441</v>
      </c>
      <c r="G206" s="2">
        <f t="shared" si="27"/>
        <v>0.68759118574618894</v>
      </c>
      <c r="H206" s="2">
        <f t="shared" si="31"/>
        <v>0.48095883918534271</v>
      </c>
    </row>
    <row r="207" spans="1:8" ht="23.25" customHeight="1" x14ac:dyDescent="0.2">
      <c r="A207" s="26">
        <v>495</v>
      </c>
      <c r="B207" s="7">
        <f t="shared" si="28"/>
        <v>0.66959073109868805</v>
      </c>
      <c r="C207" s="7">
        <f t="shared" si="29"/>
        <v>0.47411477296370208</v>
      </c>
      <c r="D207" s="29">
        <f t="shared" si="30"/>
        <v>0.240283</v>
      </c>
      <c r="E207" s="51">
        <f t="shared" si="25"/>
        <v>0.50680344444444447</v>
      </c>
      <c r="F207" s="51">
        <f t="shared" si="26"/>
        <v>0.33935088888888892</v>
      </c>
      <c r="G207" s="2">
        <f t="shared" si="27"/>
        <v>0.66959073109868805</v>
      </c>
      <c r="H207" s="2">
        <f t="shared" si="31"/>
        <v>0.47411477296370208</v>
      </c>
    </row>
    <row r="208" spans="1:8" ht="23.25" customHeight="1" x14ac:dyDescent="0.2">
      <c r="A208" s="26">
        <v>490</v>
      </c>
      <c r="B208" s="7">
        <f t="shared" si="28"/>
        <v>0.66132350096400949</v>
      </c>
      <c r="C208" s="7">
        <f t="shared" si="29"/>
        <v>0.47042837781685637</v>
      </c>
      <c r="D208" s="29">
        <f t="shared" si="30"/>
        <v>0.22359499999999999</v>
      </c>
      <c r="E208" s="51">
        <f t="shared" si="25"/>
        <v>0.47530083333333328</v>
      </c>
      <c r="F208" s="51">
        <f t="shared" si="26"/>
        <v>0.31432761111111113</v>
      </c>
      <c r="G208" s="2">
        <f t="shared" si="27"/>
        <v>0.66132350096400949</v>
      </c>
      <c r="H208" s="2">
        <f t="shared" si="31"/>
        <v>0.47042837781685637</v>
      </c>
    </row>
    <row r="209" spans="1:9" ht="23.25" customHeight="1" x14ac:dyDescent="0.2">
      <c r="A209" s="26">
        <v>485</v>
      </c>
      <c r="B209" s="7">
        <f t="shared" si="28"/>
        <v>0.65673823596354297</v>
      </c>
      <c r="C209" s="7">
        <f t="shared" si="29"/>
        <v>0.4690828550858186</v>
      </c>
      <c r="D209" s="29">
        <f t="shared" si="30"/>
        <v>0.20483599999999999</v>
      </c>
      <c r="E209" s="51">
        <f t="shared" si="25"/>
        <v>0.4366733888888889</v>
      </c>
      <c r="F209" s="51">
        <f t="shared" si="26"/>
        <v>0.28678011111111107</v>
      </c>
      <c r="G209" s="2">
        <f t="shared" si="27"/>
        <v>0.65673823596354297</v>
      </c>
      <c r="H209" s="2">
        <f t="shared" si="31"/>
        <v>0.4690828550858186</v>
      </c>
    </row>
    <row r="210" spans="1:9" ht="23.25" customHeight="1" thickBot="1" x14ac:dyDescent="0.25">
      <c r="A210" s="27">
        <v>480</v>
      </c>
      <c r="B210" s="7">
        <f t="shared" si="28"/>
        <v>0.64866202710025878</v>
      </c>
      <c r="C210" s="7">
        <f t="shared" si="29"/>
        <v>0.46525121650474649</v>
      </c>
      <c r="D210" s="29">
        <f t="shared" si="30"/>
        <v>0.18429799999999999</v>
      </c>
      <c r="E210" s="51">
        <f t="shared" si="25"/>
        <v>0.3961257777777778</v>
      </c>
      <c r="F210" s="51">
        <f t="shared" si="26"/>
        <v>0.25695174999999998</v>
      </c>
      <c r="G210" s="2">
        <f t="shared" si="27"/>
        <v>0.64866202710025878</v>
      </c>
      <c r="H210" s="2">
        <f t="shared" si="31"/>
        <v>0.46525121650474649</v>
      </c>
    </row>
    <row r="211" spans="1:9" ht="23.25" customHeight="1" x14ac:dyDescent="0.2">
      <c r="A211" s="6"/>
      <c r="D211" s="29"/>
    </row>
    <row r="213" spans="1:9" ht="23.25" customHeight="1" x14ac:dyDescent="0.2">
      <c r="A213" s="13"/>
      <c r="B213" s="14"/>
      <c r="C213" s="14"/>
      <c r="D213" s="15"/>
    </row>
    <row r="214" spans="1:9" ht="23.25" customHeight="1" x14ac:dyDescent="0.15">
      <c r="A214" s="9"/>
      <c r="D214" s="10"/>
      <c r="F214" s="124" t="s">
        <v>78</v>
      </c>
      <c r="G214" s="124"/>
      <c r="H214" s="124"/>
      <c r="I214" s="124"/>
    </row>
    <row r="215" spans="1:9" ht="23.25" customHeight="1" x14ac:dyDescent="0.2">
      <c r="A215" s="9"/>
      <c r="D215" s="10"/>
      <c r="F215" s="54" t="s">
        <v>79</v>
      </c>
      <c r="G215" s="71" cm="1">
        <f t="array" ref="G215:H219">LINEST(C196:C210,B196:B210,1,1)</f>
        <v>0.39608517033911461</v>
      </c>
      <c r="H215" s="71">
        <v>0.20882809753258536</v>
      </c>
      <c r="I215" s="2" t="s">
        <v>80</v>
      </c>
    </row>
    <row r="216" spans="1:9" ht="23.25" customHeight="1" x14ac:dyDescent="0.2">
      <c r="A216" s="9"/>
      <c r="D216" s="10"/>
      <c r="F216" s="54" t="s">
        <v>81</v>
      </c>
      <c r="G216" s="71">
        <v>2.6703892887695582E-3</v>
      </c>
      <c r="H216" s="71">
        <v>2.1187375011156974E-3</v>
      </c>
      <c r="I216" s="2" t="s">
        <v>82</v>
      </c>
    </row>
    <row r="217" spans="1:9" ht="23.25" customHeight="1" x14ac:dyDescent="0.2">
      <c r="A217" s="9"/>
      <c r="D217" s="10"/>
      <c r="F217" s="55" t="s">
        <v>83</v>
      </c>
      <c r="G217" s="56">
        <v>0.99940944711917223</v>
      </c>
      <c r="H217" s="71">
        <v>1.2331782098690539E-3</v>
      </c>
      <c r="I217" s="2" t="s">
        <v>84</v>
      </c>
    </row>
    <row r="218" spans="1:9" ht="23.25" customHeight="1" x14ac:dyDescent="0.2">
      <c r="A218" s="9"/>
      <c r="D218" s="10"/>
      <c r="F218" s="54" t="s">
        <v>85</v>
      </c>
      <c r="G218" s="2">
        <v>22000.269974701077</v>
      </c>
      <c r="H218" s="2">
        <v>13</v>
      </c>
      <c r="I218" s="2" t="s">
        <v>86</v>
      </c>
    </row>
    <row r="219" spans="1:9" ht="23.25" customHeight="1" x14ac:dyDescent="0.2">
      <c r="A219" s="9"/>
      <c r="D219" s="10"/>
      <c r="F219" s="54" t="s">
        <v>87</v>
      </c>
      <c r="G219" s="71">
        <v>3.3456437498730056E-2</v>
      </c>
      <c r="H219" s="2">
        <v>1.9769470464845978E-5</v>
      </c>
      <c r="I219" s="2" t="s">
        <v>88</v>
      </c>
    </row>
    <row r="220" spans="1:9" ht="23.25" customHeight="1" x14ac:dyDescent="0.15">
      <c r="A220" s="9"/>
      <c r="D220" s="10"/>
      <c r="F220" s="20"/>
      <c r="G220" s="20"/>
      <c r="H220" s="20"/>
      <c r="I220" s="20"/>
    </row>
    <row r="221" spans="1:9" ht="23.25" customHeight="1" x14ac:dyDescent="0.15">
      <c r="A221" s="9"/>
      <c r="D221" s="10"/>
      <c r="F221" s="16" t="s">
        <v>89</v>
      </c>
      <c r="G221" s="58">
        <f>AVERAGE(C196:C210)</f>
        <v>0.51952063354354161</v>
      </c>
      <c r="H221" s="20"/>
      <c r="I221" s="20"/>
    </row>
    <row r="222" spans="1:9" ht="23.25" customHeight="1" x14ac:dyDescent="0.15">
      <c r="A222" s="9"/>
      <c r="D222" s="10"/>
      <c r="F222" s="16" t="s">
        <v>90</v>
      </c>
      <c r="G222" s="58">
        <f>VARPA(B196:B210)*B225</f>
        <v>0.21325662397774939</v>
      </c>
      <c r="H222" s="20"/>
      <c r="I222" s="20"/>
    </row>
    <row r="223" spans="1:9" ht="23.25" customHeight="1" x14ac:dyDescent="0.2">
      <c r="A223" s="9"/>
      <c r="D223" s="10"/>
    </row>
    <row r="224" spans="1:9" ht="23.25" customHeight="1" x14ac:dyDescent="0.2">
      <c r="A224" s="8"/>
      <c r="B224" s="11"/>
      <c r="C224" s="11"/>
      <c r="D224" s="12"/>
    </row>
    <row r="225" spans="1:6" ht="21" customHeight="1" x14ac:dyDescent="0.2">
      <c r="A225" s="7" t="s">
        <v>5</v>
      </c>
      <c r="B225" s="7">
        <f>COUNT(B196:B210)</f>
        <v>15</v>
      </c>
    </row>
    <row r="226" spans="1:6" ht="21" customHeight="1" x14ac:dyDescent="0.2">
      <c r="A226" s="7" t="s">
        <v>46</v>
      </c>
      <c r="B226" s="70">
        <f>G215</f>
        <v>0.39608517033911461</v>
      </c>
      <c r="C226" s="1" t="s">
        <v>48</v>
      </c>
      <c r="D226" s="72">
        <f>H217/SQRT(G222)</f>
        <v>2.6703892887695721E-3</v>
      </c>
    </row>
    <row r="227" spans="1:6" ht="21" customHeight="1" x14ac:dyDescent="0.2">
      <c r="A227" s="7" t="s">
        <v>47</v>
      </c>
      <c r="B227" s="70">
        <f>H215</f>
        <v>0.20882809753258536</v>
      </c>
      <c r="C227" s="1" t="s">
        <v>49</v>
      </c>
      <c r="D227" s="72">
        <f>H217*SQRT(1/B225+AVERAGE(B196:B210)^2/G222)</f>
        <v>2.1187375011157091E-3</v>
      </c>
    </row>
    <row r="229" spans="1:6" s="20" customFormat="1" ht="15" customHeight="1" x14ac:dyDescent="0.15">
      <c r="A229" s="16" t="s">
        <v>53</v>
      </c>
    </row>
    <row r="230" spans="1:6" s="20" customFormat="1" ht="60" customHeight="1" x14ac:dyDescent="0.15">
      <c r="A230" s="119" t="s">
        <v>115</v>
      </c>
      <c r="B230" s="119"/>
      <c r="C230" s="119"/>
      <c r="D230" s="119"/>
      <c r="E230" s="119"/>
      <c r="F230" s="119"/>
    </row>
    <row r="231" spans="1:6" ht="408" customHeight="1" x14ac:dyDescent="0.2"/>
    <row r="232" spans="1:6" ht="143" customHeight="1" x14ac:dyDescent="0.15">
      <c r="A232" s="16" t="s">
        <v>50</v>
      </c>
    </row>
    <row r="233" spans="1:6" ht="23.25" customHeight="1" thickBot="1" x14ac:dyDescent="0.25"/>
    <row r="234" spans="1:6" ht="23.25" customHeight="1" thickBot="1" x14ac:dyDescent="0.25">
      <c r="A234" s="21" t="s">
        <v>54</v>
      </c>
      <c r="B234" s="1" t="s">
        <v>105</v>
      </c>
      <c r="C234" s="1" t="s">
        <v>106</v>
      </c>
      <c r="E234" s="2" t="s">
        <v>107</v>
      </c>
    </row>
    <row r="235" spans="1:6" ht="23.25" customHeight="1" thickBot="1" x14ac:dyDescent="0.25">
      <c r="A235" s="21" t="s">
        <v>20</v>
      </c>
      <c r="B235" s="80" t="s">
        <v>112</v>
      </c>
      <c r="C235" s="80" t="s">
        <v>113</v>
      </c>
    </row>
    <row r="236" spans="1:6" ht="23.25" customHeight="1" thickBot="1" x14ac:dyDescent="0.25">
      <c r="A236" s="22" t="s">
        <v>21</v>
      </c>
      <c r="B236" s="80" t="s">
        <v>110</v>
      </c>
      <c r="C236" s="80" t="s">
        <v>111</v>
      </c>
    </row>
    <row r="237" spans="1:6" ht="23.25" customHeight="1" thickBot="1" x14ac:dyDescent="0.25">
      <c r="A237" s="23" t="s">
        <v>22</v>
      </c>
      <c r="B237" s="80" t="s">
        <v>108</v>
      </c>
      <c r="C237" s="80" t="s">
        <v>109</v>
      </c>
      <c r="E237" s="83"/>
      <c r="F237" s="83"/>
    </row>
    <row r="238" spans="1:6" ht="23.25" customHeight="1" x14ac:dyDescent="0.2">
      <c r="A238" s="17"/>
      <c r="B238" s="17"/>
    </row>
    <row r="239" spans="1:6" s="20" customFormat="1" ht="15" customHeight="1" x14ac:dyDescent="0.15">
      <c r="A239" s="16" t="s">
        <v>53</v>
      </c>
    </row>
    <row r="240" spans="1:6" s="20" customFormat="1" ht="86.5" customHeight="1" x14ac:dyDescent="0.15">
      <c r="A240" s="115" t="s">
        <v>130</v>
      </c>
      <c r="B240" s="115"/>
      <c r="C240" s="115"/>
      <c r="D240" s="115"/>
      <c r="E240" s="115"/>
      <c r="F240" s="115"/>
    </row>
    <row r="242" spans="1:6" ht="23.25" customHeight="1" x14ac:dyDescent="0.2">
      <c r="A242" s="6" t="s">
        <v>51</v>
      </c>
    </row>
    <row r="244" spans="1:6" ht="23.25" customHeight="1" x14ac:dyDescent="0.2">
      <c r="A244" s="6" t="s">
        <v>55</v>
      </c>
    </row>
    <row r="245" spans="1:6" ht="23.25" customHeight="1" x14ac:dyDescent="0.2">
      <c r="A245" s="2" t="s">
        <v>58</v>
      </c>
    </row>
    <row r="246" spans="1:6" ht="23.25" customHeight="1" thickBot="1" x14ac:dyDescent="0.25"/>
    <row r="247" spans="1:6" ht="23.25" customHeight="1" thickBot="1" x14ac:dyDescent="0.25">
      <c r="A247" s="75" t="s">
        <v>54</v>
      </c>
      <c r="B247" s="18" t="s">
        <v>121</v>
      </c>
      <c r="C247" s="18" t="s">
        <v>122</v>
      </c>
      <c r="D247" s="18" t="s">
        <v>98</v>
      </c>
    </row>
    <row r="248" spans="1:6" ht="23.25" customHeight="1" thickBot="1" x14ac:dyDescent="0.25">
      <c r="A248" s="75" t="s">
        <v>20</v>
      </c>
      <c r="B248" s="90">
        <f>Solver!$G$50</f>
        <v>0.20860996881853594</v>
      </c>
      <c r="C248" s="90">
        <f>Solver!$H$50</f>
        <v>0.39641252418066508</v>
      </c>
      <c r="D248" s="90">
        <f>Solver!$I$50</f>
        <v>0</v>
      </c>
      <c r="E248"/>
      <c r="F248"/>
    </row>
    <row r="249" spans="1:6" ht="23.25" customHeight="1" thickBot="1" x14ac:dyDescent="0.25">
      <c r="A249" s="76" t="s">
        <v>21</v>
      </c>
      <c r="B249" s="90">
        <f>Solver!$G$27</f>
        <v>0.46951904491079122</v>
      </c>
      <c r="C249" s="90">
        <f>Solver!$H$27</f>
        <v>0.34123802641288054</v>
      </c>
      <c r="D249" s="90">
        <f>Solver!$I$27</f>
        <v>0</v>
      </c>
      <c r="E249"/>
      <c r="F249" s="73"/>
    </row>
    <row r="250" spans="1:6" ht="23.25" customHeight="1" thickBot="1" x14ac:dyDescent="0.25">
      <c r="A250" s="77" t="s">
        <v>22</v>
      </c>
      <c r="B250" s="90">
        <f>Solver!$G$5</f>
        <v>0.44977360319330201</v>
      </c>
      <c r="C250" s="90">
        <f>Solver!$H$5</f>
        <v>0.13118060674584078</v>
      </c>
      <c r="D250" s="90">
        <f>Solver!$I$5</f>
        <v>1.1202222501055599E-2</v>
      </c>
      <c r="E250"/>
      <c r="F250"/>
    </row>
    <row r="251" spans="1:6" ht="23.25" customHeight="1" x14ac:dyDescent="0.2">
      <c r="A251" s="24"/>
      <c r="B251" s="17"/>
    </row>
    <row r="252" spans="1:6" s="20" customFormat="1" ht="15" customHeight="1" x14ac:dyDescent="0.15">
      <c r="A252" s="16" t="s">
        <v>53</v>
      </c>
    </row>
    <row r="253" spans="1:6" s="20" customFormat="1" ht="60" customHeight="1" x14ac:dyDescent="0.15">
      <c r="A253" s="115" t="s">
        <v>142</v>
      </c>
      <c r="B253" s="115"/>
      <c r="C253" s="115"/>
      <c r="D253" s="115"/>
      <c r="E253" s="115"/>
      <c r="F253" s="115"/>
    </row>
    <row r="255" spans="1:6" ht="23.25" customHeight="1" x14ac:dyDescent="0.2">
      <c r="A255" s="6" t="s">
        <v>52</v>
      </c>
    </row>
    <row r="256" spans="1:6" ht="23.25" customHeight="1" x14ac:dyDescent="0.2">
      <c r="A256" s="2" t="s">
        <v>56</v>
      </c>
    </row>
    <row r="257" spans="1:6" ht="23.25" customHeight="1" thickBot="1" x14ac:dyDescent="0.25"/>
    <row r="258" spans="1:6" ht="23.25" customHeight="1" thickBot="1" x14ac:dyDescent="0.25">
      <c r="A258" s="21" t="s">
        <v>54</v>
      </c>
    </row>
    <row r="259" spans="1:6" ht="23.25" customHeight="1" thickBot="1" x14ac:dyDescent="0.25">
      <c r="A259" s="21" t="s">
        <v>20</v>
      </c>
      <c r="B259" s="111" t="s">
        <v>162</v>
      </c>
    </row>
    <row r="260" spans="1:6" ht="23.25" customHeight="1" thickBot="1" x14ac:dyDescent="0.25">
      <c r="A260" s="22" t="s">
        <v>21</v>
      </c>
      <c r="B260" s="112" t="s">
        <v>163</v>
      </c>
    </row>
    <row r="261" spans="1:6" ht="23.25" customHeight="1" thickBot="1" x14ac:dyDescent="0.25">
      <c r="A261" s="23" t="s">
        <v>22</v>
      </c>
      <c r="B261" s="113" t="s">
        <v>164</v>
      </c>
    </row>
    <row r="262" spans="1:6" ht="23.25" customHeight="1" x14ac:dyDescent="0.2">
      <c r="A262" s="24"/>
      <c r="B262" s="17"/>
    </row>
    <row r="263" spans="1:6" s="20" customFormat="1" ht="15" customHeight="1" x14ac:dyDescent="0.15">
      <c r="A263" s="16" t="s">
        <v>53</v>
      </c>
    </row>
    <row r="264" spans="1:6" s="20" customFormat="1" ht="60" customHeight="1" x14ac:dyDescent="0.15">
      <c r="A264" s="115" t="s">
        <v>141</v>
      </c>
      <c r="B264" s="115"/>
      <c r="C264" s="115"/>
      <c r="D264" s="115"/>
      <c r="E264" s="115"/>
      <c r="F264" s="115"/>
    </row>
    <row r="266" spans="1:6" ht="23.25" customHeight="1" x14ac:dyDescent="0.2">
      <c r="A266" s="6" t="s">
        <v>57</v>
      </c>
    </row>
    <row r="267" spans="1:6" ht="114" customHeight="1" x14ac:dyDescent="0.2">
      <c r="A267" s="115" t="s">
        <v>143</v>
      </c>
      <c r="B267" s="115"/>
      <c r="C267" s="115"/>
      <c r="D267" s="115"/>
      <c r="E267" s="115"/>
      <c r="F267" s="115"/>
    </row>
  </sheetData>
  <mergeCells count="18">
    <mergeCell ref="A6:D8"/>
    <mergeCell ref="A10:D15"/>
    <mergeCell ref="B85:F86"/>
    <mergeCell ref="H51:J51"/>
    <mergeCell ref="B17:D18"/>
    <mergeCell ref="A264:F264"/>
    <mergeCell ref="A267:F267"/>
    <mergeCell ref="A240:F240"/>
    <mergeCell ref="B51:D51"/>
    <mergeCell ref="E51:G51"/>
    <mergeCell ref="A230:F230"/>
    <mergeCell ref="A191:F191"/>
    <mergeCell ref="A152:F152"/>
    <mergeCell ref="B112:F113"/>
    <mergeCell ref="A253:F253"/>
    <mergeCell ref="F136:I136"/>
    <mergeCell ref="F175:I175"/>
    <mergeCell ref="F214:I214"/>
  </mergeCells>
  <phoneticPr fontId="16"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00871-1C37-4265-810E-3A941BEA652D}">
  <dimension ref="A2:N65"/>
  <sheetViews>
    <sheetView topLeftCell="C17" zoomScale="89" zoomScaleNormal="50" workbookViewId="0">
      <selection activeCell="L50" sqref="L50"/>
    </sheetView>
  </sheetViews>
  <sheetFormatPr baseColWidth="10" defaultColWidth="8.83203125" defaultRowHeight="15" x14ac:dyDescent="0.2"/>
  <cols>
    <col min="1" max="1" width="19.33203125" customWidth="1"/>
    <col min="2" max="2" width="16" customWidth="1"/>
    <col min="4" max="4" width="9.6640625" bestFit="1" customWidth="1"/>
    <col min="5" max="5" width="9" bestFit="1" customWidth="1"/>
    <col min="6" max="6" width="9.5" bestFit="1" customWidth="1"/>
    <col min="7" max="11" width="9" bestFit="1" customWidth="1"/>
    <col min="12" max="12" width="11.83203125" bestFit="1" customWidth="1"/>
  </cols>
  <sheetData>
    <row r="2" spans="1:14" x14ac:dyDescent="0.2">
      <c r="A2" t="s">
        <v>93</v>
      </c>
      <c r="B2" t="s">
        <v>92</v>
      </c>
      <c r="D2" s="6" t="s">
        <v>64</v>
      </c>
    </row>
    <row r="3" spans="1:14" x14ac:dyDescent="0.2">
      <c r="A3" s="61" t="s">
        <v>44</v>
      </c>
      <c r="B3" s="61" t="s">
        <v>44</v>
      </c>
    </row>
    <row r="4" spans="1:14" x14ac:dyDescent="0.2">
      <c r="A4" s="84">
        <f>'Pràctica A'!E118</f>
        <v>0.35936772222222224</v>
      </c>
      <c r="B4" s="84">
        <f>'Pràctica A'!F118</f>
        <v>0.38005327777777781</v>
      </c>
      <c r="D4" s="85" t="s">
        <v>99</v>
      </c>
      <c r="E4" s="85" t="s">
        <v>117</v>
      </c>
      <c r="F4" s="85" t="s">
        <v>101</v>
      </c>
      <c r="G4" s="74" t="s">
        <v>96</v>
      </c>
      <c r="H4" s="74" t="s">
        <v>97</v>
      </c>
      <c r="I4" s="74" t="s">
        <v>98</v>
      </c>
      <c r="J4" s="74" t="s">
        <v>102</v>
      </c>
      <c r="K4" s="74" t="s">
        <v>103</v>
      </c>
      <c r="L4" s="74" t="s">
        <v>104</v>
      </c>
      <c r="N4" s="74" t="s">
        <v>118</v>
      </c>
    </row>
    <row r="5" spans="1:14" x14ac:dyDescent="0.2">
      <c r="A5" s="84">
        <f>'Pràctica A'!E119</f>
        <v>0.39884833333333336</v>
      </c>
      <c r="B5" s="84">
        <f>'Pràctica A'!F119</f>
        <v>0.39739661111111108</v>
      </c>
      <c r="D5" s="35">
        <f>'Pràctica A'!J53</f>
        <v>0.22112399999999999</v>
      </c>
      <c r="E5" s="48">
        <v>550</v>
      </c>
      <c r="F5" s="35">
        <f>A4*$G$5 + B4*$H$5 +$I$5</f>
        <v>0.22269195737094863</v>
      </c>
      <c r="G5">
        <v>0.44977360319330201</v>
      </c>
      <c r="H5">
        <v>0.13118060674584078</v>
      </c>
      <c r="I5">
        <v>1.1202222501055599E-2</v>
      </c>
      <c r="J5" s="86">
        <f>D5-F5</f>
        <v>-1.5679573709486416E-3</v>
      </c>
      <c r="K5" s="86">
        <f>J5^2</f>
        <v>2.4584903171121761E-6</v>
      </c>
      <c r="L5" s="86">
        <f>SUM(K5:K19)</f>
        <v>1.6487392254673343E-5</v>
      </c>
    </row>
    <row r="6" spans="1:14" x14ac:dyDescent="0.2">
      <c r="A6" s="84">
        <f>'Pràctica A'!E120</f>
        <v>0.45877661111111112</v>
      </c>
      <c r="B6" s="84">
        <f>'Pràctica A'!F120</f>
        <v>0.40979361111111112</v>
      </c>
      <c r="D6" s="35">
        <f>'Pràctica A'!J54</f>
        <v>0.245724</v>
      </c>
      <c r="E6" s="26">
        <v>545</v>
      </c>
      <c r="F6" s="35">
        <f t="shared" ref="F6:F19" si="0">A5*$G$5 + B5*$H$5 +$I$5</f>
        <v>0.24272440307632862</v>
      </c>
      <c r="J6" s="86">
        <f t="shared" ref="J6:J19" si="1">D6-F6</f>
        <v>2.9995969236713826E-3</v>
      </c>
      <c r="K6" s="86">
        <f>J6^2</f>
        <v>8.9975817044988234E-6</v>
      </c>
    </row>
    <row r="7" spans="1:14" x14ac:dyDescent="0.2">
      <c r="A7" s="84">
        <f>'Pràctica A'!E121</f>
        <v>0.50119555555555551</v>
      </c>
      <c r="B7" s="84">
        <f>'Pràctica A'!F121</f>
        <v>0.41851666666666665</v>
      </c>
      <c r="D7" s="35">
        <f>'Pràctica A'!J55</f>
        <v>0.27023000000000003</v>
      </c>
      <c r="E7" s="26">
        <v>540</v>
      </c>
      <c r="F7" s="35">
        <f t="shared" si="0"/>
        <v>0.27130480648743704</v>
      </c>
      <c r="J7" s="86">
        <f t="shared" si="1"/>
        <v>-1.0748064874370189E-3</v>
      </c>
      <c r="K7" s="86">
        <f t="shared" ref="K7:K19" si="2">J7^2</f>
        <v>1.1552089854367027E-6</v>
      </c>
    </row>
    <row r="8" spans="1:14" x14ac:dyDescent="0.2">
      <c r="A8" s="84">
        <f>'Pràctica A'!E122</f>
        <v>0.52526161111111103</v>
      </c>
      <c r="B8" s="84">
        <f>'Pràctica A'!F122</f>
        <v>0.4244694444444444</v>
      </c>
      <c r="D8" s="35">
        <f>'Pràctica A'!J56</f>
        <v>0.29030800000000001</v>
      </c>
      <c r="E8" s="26">
        <v>535</v>
      </c>
      <c r="F8" s="35">
        <f t="shared" si="0"/>
        <v>0.29152802369432673</v>
      </c>
      <c r="J8" s="86">
        <f t="shared" si="1"/>
        <v>-1.2200236943267218E-3</v>
      </c>
      <c r="K8" s="86">
        <f t="shared" si="2"/>
        <v>1.4884578147186222E-6</v>
      </c>
    </row>
    <row r="9" spans="1:14" x14ac:dyDescent="0.2">
      <c r="A9" s="84">
        <f>'Pràctica A'!E123</f>
        <v>0.53149944444444441</v>
      </c>
      <c r="B9" s="84">
        <f>'Pràctica A'!F123</f>
        <v>0.42695733333333336</v>
      </c>
      <c r="D9" s="35">
        <f>'Pràctica A'!J57</f>
        <v>0.30221599999999998</v>
      </c>
      <c r="E9" s="26">
        <v>530</v>
      </c>
      <c r="F9" s="35">
        <f t="shared" si="0"/>
        <v>0.30313318921691113</v>
      </c>
      <c r="J9" s="86">
        <f t="shared" si="1"/>
        <v>-9.1718921691114064E-4</v>
      </c>
      <c r="K9" s="86">
        <f t="shared" si="2"/>
        <v>8.412360596180714E-7</v>
      </c>
    </row>
    <row r="10" spans="1:14" x14ac:dyDescent="0.2">
      <c r="A10" s="84">
        <f>'Pràctica A'!E124</f>
        <v>0.53050805555555547</v>
      </c>
      <c r="B10" s="84">
        <f>'Pràctica A'!F124</f>
        <v>0.42403333333333332</v>
      </c>
      <c r="D10" s="35">
        <f>'Pràctica A'!J58</f>
        <v>0.30606499999999998</v>
      </c>
      <c r="E10" s="26">
        <v>525</v>
      </c>
      <c r="F10" s="35">
        <f t="shared" si="0"/>
        <v>0.3062651647653245</v>
      </c>
      <c r="J10" s="86">
        <f t="shared" si="1"/>
        <v>-2.0016476532452865E-4</v>
      </c>
      <c r="K10" s="86">
        <f t="shared" si="2"/>
        <v>4.0065933277423624E-8</v>
      </c>
    </row>
    <row r="11" spans="1:14" x14ac:dyDescent="0.2">
      <c r="A11" s="84">
        <f>'Pràctica A'!E125</f>
        <v>0.53185700000000002</v>
      </c>
      <c r="B11" s="84">
        <f>'Pràctica A'!F125</f>
        <v>0.41585772222222223</v>
      </c>
      <c r="D11" s="35">
        <f>'Pràctica A'!J59</f>
        <v>0.30602099999999999</v>
      </c>
      <c r="E11" s="26">
        <v>520</v>
      </c>
      <c r="F11" s="35">
        <f t="shared" si="0"/>
        <v>0.30543569211847826</v>
      </c>
      <c r="J11" s="86">
        <f t="shared" si="1"/>
        <v>5.8530788152172386E-4</v>
      </c>
      <c r="K11" s="86">
        <f t="shared" si="2"/>
        <v>3.4258531617144831E-7</v>
      </c>
    </row>
    <row r="12" spans="1:14" x14ac:dyDescent="0.2">
      <c r="A12" s="84">
        <f>'Pràctica A'!E126</f>
        <v>0.53505538888888882</v>
      </c>
      <c r="B12" s="84">
        <f>'Pràctica A'!F126</f>
        <v>0.40179716666666665</v>
      </c>
      <c r="D12" s="35">
        <f>'Pràctica A'!J60</f>
        <v>0.30581799999999998</v>
      </c>
      <c r="E12" s="26">
        <v>515</v>
      </c>
      <c r="F12" s="35">
        <f t="shared" si="0"/>
        <v>0.30496993009569007</v>
      </c>
      <c r="J12" s="86">
        <f t="shared" si="1"/>
        <v>8.4806990430991158E-4</v>
      </c>
      <c r="K12" s="86">
        <f t="shared" si="2"/>
        <v>7.1922256259622261E-7</v>
      </c>
    </row>
    <row r="13" spans="1:14" x14ac:dyDescent="0.2">
      <c r="A13" s="84">
        <f>'Pràctica A'!E127</f>
        <v>0.535015388888889</v>
      </c>
      <c r="B13" s="84">
        <f>'Pràctica A'!F127</f>
        <v>0.38332472222222219</v>
      </c>
      <c r="D13" s="35">
        <f>'Pràctica A'!J61</f>
        <v>0.30512699999999998</v>
      </c>
      <c r="E13" s="26">
        <v>510</v>
      </c>
      <c r="F13" s="35">
        <f t="shared" si="0"/>
        <v>0.30456400878169765</v>
      </c>
      <c r="J13" s="86">
        <f t="shared" si="1"/>
        <v>5.6299121830233334E-4</v>
      </c>
      <c r="K13" s="86">
        <f t="shared" si="2"/>
        <v>3.1695911188554558E-7</v>
      </c>
    </row>
    <row r="14" spans="1:14" x14ac:dyDescent="0.2">
      <c r="A14" s="84">
        <f>'Pràctica A'!E128</f>
        <v>0.52666461111111118</v>
      </c>
      <c r="B14" s="84">
        <f>'Pràctica A'!F128</f>
        <v>0.36212994444444441</v>
      </c>
      <c r="D14" s="35">
        <f>'Pràctica A'!J62</f>
        <v>0.30235600000000001</v>
      </c>
      <c r="E14" s="26">
        <v>505</v>
      </c>
      <c r="F14" s="35">
        <f t="shared" si="0"/>
        <v>0.30212279136726894</v>
      </c>
      <c r="J14" s="86">
        <f t="shared" si="1"/>
        <v>2.3320863273107451E-4</v>
      </c>
      <c r="K14" s="86">
        <f t="shared" si="2"/>
        <v>5.4386266380297193E-8</v>
      </c>
    </row>
    <row r="15" spans="1:14" x14ac:dyDescent="0.2">
      <c r="A15" s="84">
        <f>'Pràctica A'!E129</f>
        <v>0.50680344444444447</v>
      </c>
      <c r="B15" s="84">
        <f>'Pràctica A'!F129</f>
        <v>0.33935088888888892</v>
      </c>
      <c r="D15" s="35">
        <f>'Pràctica A'!J63</f>
        <v>0.29537000000000002</v>
      </c>
      <c r="E15" s="26">
        <v>500</v>
      </c>
      <c r="F15" s="35">
        <f t="shared" si="0"/>
        <v>0.29558648814795907</v>
      </c>
      <c r="J15" s="86">
        <f t="shared" si="1"/>
        <v>-2.1648814795904858E-4</v>
      </c>
      <c r="K15" s="86">
        <f t="shared" si="2"/>
        <v>4.6867118206738908E-8</v>
      </c>
    </row>
    <row r="16" spans="1:14" x14ac:dyDescent="0.2">
      <c r="A16" s="84">
        <f>'Pràctica A'!E130</f>
        <v>0.47530083333333328</v>
      </c>
      <c r="B16" s="84">
        <f>'Pràctica A'!F130</f>
        <v>0.31432761111111113</v>
      </c>
      <c r="D16" s="35">
        <f>'Pràctica A'!J64</f>
        <v>0.28359800000000002</v>
      </c>
      <c r="E16" s="26">
        <v>495</v>
      </c>
      <c r="F16" s="35">
        <f t="shared" si="0"/>
        <v>0.2836652893237947</v>
      </c>
      <c r="J16" s="86">
        <f t="shared" si="1"/>
        <v>-6.7289323794683664E-5</v>
      </c>
      <c r="K16" s="86">
        <f t="shared" si="2"/>
        <v>4.5278530967457809E-9</v>
      </c>
    </row>
    <row r="17" spans="1:14" x14ac:dyDescent="0.2">
      <c r="A17" s="84">
        <f>'Pràctica A'!E131</f>
        <v>0.4366733888888889</v>
      </c>
      <c r="B17" s="84">
        <f>'Pràctica A'!F131</f>
        <v>0.28678011111111107</v>
      </c>
      <c r="D17" s="35">
        <f>'Pràctica A'!J65</f>
        <v>0.26625399999999999</v>
      </c>
      <c r="E17" s="26">
        <v>490</v>
      </c>
      <c r="F17" s="35">
        <f t="shared" si="0"/>
        <v>0.26621367765269427</v>
      </c>
      <c r="J17" s="86">
        <f t="shared" si="1"/>
        <v>4.0322347305721262E-5</v>
      </c>
      <c r="K17" s="86">
        <f t="shared" si="2"/>
        <v>1.6258916922432066E-9</v>
      </c>
    </row>
    <row r="18" spans="1:14" x14ac:dyDescent="0.2">
      <c r="A18" s="84">
        <f>'Pràctica A'!E132</f>
        <v>0.3961257777777778</v>
      </c>
      <c r="B18" s="84">
        <f>'Pràctica A'!F132</f>
        <v>0.25695174999999998</v>
      </c>
      <c r="D18" s="35">
        <f>'Pràctica A'!J66</f>
        <v>0.24532499999999999</v>
      </c>
      <c r="E18" s="26">
        <v>485</v>
      </c>
      <c r="F18" s="35">
        <f t="shared" si="0"/>
        <v>0.24522637501843636</v>
      </c>
      <c r="J18" s="86">
        <f t="shared" si="1"/>
        <v>9.8624981563627534E-5</v>
      </c>
      <c r="K18" s="86">
        <f t="shared" si="2"/>
        <v>9.7268869884258709E-9</v>
      </c>
    </row>
    <row r="19" spans="1:14" ht="16" thickBot="1" x14ac:dyDescent="0.25">
      <c r="D19" s="35">
        <f>'Pràctica A'!J67</f>
        <v>0.22297400000000001</v>
      </c>
      <c r="E19" s="27">
        <v>480</v>
      </c>
      <c r="F19" s="35">
        <f t="shared" si="0"/>
        <v>0.22307622735932156</v>
      </c>
      <c r="J19" s="86">
        <f t="shared" si="1"/>
        <v>-1.0222735932155502E-4</v>
      </c>
      <c r="K19" s="86">
        <f t="shared" si="2"/>
        <v>1.0450432993858323E-8</v>
      </c>
      <c r="N19" t="s">
        <v>165</v>
      </c>
    </row>
    <row r="20" spans="1:14" x14ac:dyDescent="0.2">
      <c r="N20" t="s">
        <v>166</v>
      </c>
    </row>
    <row r="21" spans="1:14" x14ac:dyDescent="0.2">
      <c r="N21" t="s">
        <v>167</v>
      </c>
    </row>
    <row r="23" spans="1:14" x14ac:dyDescent="0.2">
      <c r="D23" s="6" t="s">
        <v>63</v>
      </c>
    </row>
    <row r="25" spans="1:14" x14ac:dyDescent="0.2">
      <c r="G25" t="s">
        <v>95</v>
      </c>
    </row>
    <row r="26" spans="1:14" x14ac:dyDescent="0.2">
      <c r="D26" s="85" t="s">
        <v>99</v>
      </c>
      <c r="E26" s="85" t="s">
        <v>117</v>
      </c>
      <c r="F26" s="85" t="s">
        <v>101</v>
      </c>
      <c r="G26" s="74" t="s">
        <v>96</v>
      </c>
      <c r="H26" s="74" t="s">
        <v>97</v>
      </c>
      <c r="I26" s="74" t="s">
        <v>98</v>
      </c>
      <c r="J26" s="74" t="s">
        <v>102</v>
      </c>
      <c r="K26" s="74" t="s">
        <v>103</v>
      </c>
      <c r="L26" s="74" t="s">
        <v>104</v>
      </c>
      <c r="N26" s="74" t="s">
        <v>119</v>
      </c>
    </row>
    <row r="27" spans="1:14" x14ac:dyDescent="0.2">
      <c r="D27" s="35">
        <f>'Pràctica A'!I53</f>
        <v>0.297182</v>
      </c>
      <c r="E27" s="48">
        <v>550</v>
      </c>
      <c r="F27" s="35">
        <f>A4*$G$27 + B4*$H$27 +$I$27</f>
        <v>0.2984186201501795</v>
      </c>
      <c r="G27">
        <v>0.46951904491079122</v>
      </c>
      <c r="H27">
        <v>0.34123802641288054</v>
      </c>
      <c r="I27" s="73">
        <v>0</v>
      </c>
      <c r="J27" s="86">
        <f>D27-F27</f>
        <v>-1.2366201501795016E-3</v>
      </c>
      <c r="K27" s="86">
        <f>J27^2</f>
        <v>1.529229395829973E-6</v>
      </c>
      <c r="L27">
        <f>SUM(K27:K41)</f>
        <v>2.2154601443480185E-5</v>
      </c>
      <c r="N27" s="74"/>
    </row>
    <row r="28" spans="1:14" x14ac:dyDescent="0.2">
      <c r="D28" s="35">
        <f>'Pràctica A'!I54</f>
        <v>0.326104</v>
      </c>
      <c r="E28" s="26">
        <v>545</v>
      </c>
      <c r="F28" s="35">
        <f>A5*$G$27 + B5*$H$27 +$I$27</f>
        <v>0.32287372380965007</v>
      </c>
      <c r="J28" s="86">
        <f t="shared" ref="J28:J41" si="3">D28-F28</f>
        <v>3.2302761903499344E-3</v>
      </c>
      <c r="K28" s="86">
        <f t="shared" ref="K28:K41" si="4">J28^2</f>
        <v>1.0434684265941686E-5</v>
      </c>
    </row>
    <row r="29" spans="1:14" x14ac:dyDescent="0.2">
      <c r="D29" s="35">
        <f>'Pràctica A'!I55</f>
        <v>0.35388999999999998</v>
      </c>
      <c r="E29" s="26">
        <v>540</v>
      </c>
      <c r="F29" s="35">
        <f>A6*$G$27 + B6*$H$27 +$I$27</f>
        <v>0.35524151936846143</v>
      </c>
      <c r="J29" s="86">
        <f t="shared" si="3"/>
        <v>-1.3515193684614513E-3</v>
      </c>
      <c r="K29" s="86">
        <f t="shared" si="4"/>
        <v>1.82660460332644E-6</v>
      </c>
    </row>
    <row r="30" spans="1:14" x14ac:dyDescent="0.2">
      <c r="D30" s="35">
        <f>'Pràctica A'!I56</f>
        <v>0.37645499999999998</v>
      </c>
      <c r="E30" s="26">
        <v>535</v>
      </c>
      <c r="F30" s="35">
        <f>A7*$G$27 + B7*$H$27 +$I$27</f>
        <v>0.37813465991220852</v>
      </c>
      <c r="J30" s="86">
        <f t="shared" si="3"/>
        <v>-1.6796599122085309E-3</v>
      </c>
      <c r="K30" s="86">
        <f t="shared" si="4"/>
        <v>2.82125742068037E-6</v>
      </c>
    </row>
    <row r="31" spans="1:14" x14ac:dyDescent="0.2">
      <c r="D31" s="35">
        <f>'Pràctica A'!I57</f>
        <v>0.39011699999999999</v>
      </c>
      <c r="E31" s="26">
        <v>530</v>
      </c>
      <c r="F31" s="35">
        <f t="shared" ref="F29:F41" si="5">A8*$G$27 + B8*$H$27 +$I$27</f>
        <v>0.39146544547198636</v>
      </c>
      <c r="J31" s="86">
        <f t="shared" si="3"/>
        <v>-1.3484454719863703E-3</v>
      </c>
      <c r="K31" s="86">
        <f t="shared" si="4"/>
        <v>1.818305190920545E-6</v>
      </c>
    </row>
    <row r="32" spans="1:14" x14ac:dyDescent="0.2">
      <c r="D32" s="35">
        <f>'Pràctica A'!I58</f>
        <v>0.39472099999999999</v>
      </c>
      <c r="E32" s="26">
        <v>525</v>
      </c>
      <c r="F32" s="35">
        <f>A9*$G$27 + B9*$H$27 +$I$27</f>
        <v>0.39524318931534475</v>
      </c>
      <c r="J32" s="86">
        <f t="shared" si="3"/>
        <v>-5.2218931534475654E-4</v>
      </c>
      <c r="K32" s="86">
        <f t="shared" si="4"/>
        <v>2.7268168106022562E-7</v>
      </c>
    </row>
    <row r="33" spans="4:14" x14ac:dyDescent="0.2">
      <c r="D33" s="35">
        <f>'Pràctica A'!I59</f>
        <v>0.39447599999999999</v>
      </c>
      <c r="E33" s="26">
        <v>520</v>
      </c>
      <c r="F33" s="35">
        <f>A10*$G$27 + B10*$H$27 +$I$27</f>
        <v>0.39377993336186712</v>
      </c>
      <c r="J33" s="86">
        <f t="shared" si="3"/>
        <v>6.9606663813287506E-4</v>
      </c>
      <c r="K33" s="86">
        <f t="shared" si="4"/>
        <v>4.8450876472160283E-7</v>
      </c>
    </row>
    <row r="34" spans="4:14" x14ac:dyDescent="0.2">
      <c r="D34" s="35">
        <f>'Pràctica A'!I60</f>
        <v>0.39258900000000002</v>
      </c>
      <c r="E34" s="26">
        <v>515</v>
      </c>
      <c r="F34" s="35">
        <f>A11*$G$27 + B11*$H$27 +$I$27</f>
        <v>0.39162345906878571</v>
      </c>
      <c r="J34" s="86">
        <f t="shared" si="3"/>
        <v>9.6554093121431483E-4</v>
      </c>
      <c r="K34" s="86">
        <f t="shared" si="4"/>
        <v>9.3226928985020629E-7</v>
      </c>
    </row>
    <row r="35" spans="4:14" x14ac:dyDescent="0.2">
      <c r="D35" s="35">
        <f>'Pràctica A'!I61</f>
        <v>0.38922899999999999</v>
      </c>
      <c r="E35" s="26">
        <v>510</v>
      </c>
      <c r="F35" s="35">
        <f>A12*$G$27 + B12*$H$27 +$I$27</f>
        <v>0.3883271673371036</v>
      </c>
      <c r="J35" s="86">
        <f t="shared" si="3"/>
        <v>9.0183266289639574E-4</v>
      </c>
      <c r="K35" s="86">
        <f t="shared" si="4"/>
        <v>8.1330215186680416E-7</v>
      </c>
    </row>
    <row r="36" spans="4:14" x14ac:dyDescent="0.2">
      <c r="D36" s="35">
        <f>'Pràctica A'!I62</f>
        <v>0.38248500000000002</v>
      </c>
      <c r="E36" s="26">
        <v>505</v>
      </c>
      <c r="F36" s="35">
        <f>A13*$G$27 + B13*$H$27 +$I$27</f>
        <v>0.38200488609006344</v>
      </c>
      <c r="J36" s="86">
        <f t="shared" si="3"/>
        <v>4.8011390993657477E-4</v>
      </c>
      <c r="K36" s="86">
        <f t="shared" si="4"/>
        <v>2.3050936651458543E-7</v>
      </c>
    </row>
    <row r="37" spans="4:14" x14ac:dyDescent="0.2">
      <c r="D37" s="35">
        <f>'Pràctica A'!I63</f>
        <v>0.370971</v>
      </c>
      <c r="E37" s="26">
        <v>500</v>
      </c>
      <c r="F37" s="35">
        <f>A14*$G$27 + B14*$H$27 +$I$27</f>
        <v>0.37085157274443048</v>
      </c>
      <c r="J37" s="86">
        <f t="shared" si="3"/>
        <v>1.1942725556951528E-4</v>
      </c>
      <c r="K37" s="86">
        <f t="shared" si="4"/>
        <v>1.4262869372866318E-8</v>
      </c>
    </row>
    <row r="38" spans="4:14" x14ac:dyDescent="0.2">
      <c r="D38" s="35">
        <f>'Pràctica A'!I64</f>
        <v>0.35401199999999999</v>
      </c>
      <c r="E38" s="26">
        <v>495</v>
      </c>
      <c r="F38" s="35">
        <f t="shared" si="5"/>
        <v>0.35375329677895595</v>
      </c>
      <c r="J38" s="86">
        <f t="shared" si="3"/>
        <v>2.587032210440432E-4</v>
      </c>
      <c r="K38" s="86">
        <f t="shared" si="4"/>
        <v>6.6927356578563071E-8</v>
      </c>
    </row>
    <row r="39" spans="4:14" x14ac:dyDescent="0.2">
      <c r="D39" s="35">
        <f>'Pràctica A'!I65</f>
        <v>0.330733</v>
      </c>
      <c r="E39" s="26">
        <v>490</v>
      </c>
      <c r="F39" s="35">
        <f>A16*$G$27 + B16*$H$27 +$I$27</f>
        <v>0.33042332697460081</v>
      </c>
      <c r="J39" s="86">
        <f t="shared" si="3"/>
        <v>3.0967302539919306E-4</v>
      </c>
      <c r="K39" s="86">
        <f t="shared" si="4"/>
        <v>9.5897382659889274E-8</v>
      </c>
    </row>
    <row r="40" spans="4:14" x14ac:dyDescent="0.2">
      <c r="D40" s="35">
        <f>'Pràctica A'!I66</f>
        <v>0.30288399999999999</v>
      </c>
      <c r="E40" s="26">
        <v>485</v>
      </c>
      <c r="F40" s="35">
        <f>A17*$G$27 + B17*$H$27 +$I$27</f>
        <v>0.30288675161909179</v>
      </c>
      <c r="J40" s="86">
        <f t="shared" si="3"/>
        <v>-2.7516190918008832E-6</v>
      </c>
      <c r="K40" s="86">
        <f t="shared" si="4"/>
        <v>7.5714076263631163E-12</v>
      </c>
    </row>
    <row r="41" spans="4:14" ht="16" thickBot="1" x14ac:dyDescent="0.25">
      <c r="D41" s="35">
        <f>'Pràctica A'!I67</f>
        <v>0.27276800000000001</v>
      </c>
      <c r="E41" s="27">
        <v>480</v>
      </c>
      <c r="F41" s="35">
        <f>A18*$G$27 + B18*$H$27 +$I$27</f>
        <v>0.27367030490010241</v>
      </c>
      <c r="J41" s="86">
        <f t="shared" si="3"/>
        <v>-9.0230490010240194E-4</v>
      </c>
      <c r="K41" s="86">
        <f t="shared" si="4"/>
        <v>8.1415413274880553E-7</v>
      </c>
      <c r="N41" t="s">
        <v>168</v>
      </c>
    </row>
    <row r="42" spans="4:14" x14ac:dyDescent="0.2">
      <c r="N42" t="s">
        <v>169</v>
      </c>
    </row>
    <row r="46" spans="4:14" x14ac:dyDescent="0.2">
      <c r="D46" s="6" t="s">
        <v>45</v>
      </c>
    </row>
    <row r="48" spans="4:14" x14ac:dyDescent="0.2">
      <c r="G48" t="s">
        <v>95</v>
      </c>
    </row>
    <row r="49" spans="4:14" x14ac:dyDescent="0.2">
      <c r="D49" s="85" t="s">
        <v>99</v>
      </c>
      <c r="E49" s="85" t="s">
        <v>117</v>
      </c>
      <c r="F49" s="85" t="s">
        <v>101</v>
      </c>
      <c r="G49" s="74" t="s">
        <v>96</v>
      </c>
      <c r="H49" s="74" t="s">
        <v>97</v>
      </c>
      <c r="I49" s="74" t="s">
        <v>98</v>
      </c>
      <c r="J49" s="74" t="s">
        <v>102</v>
      </c>
      <c r="K49" s="74" t="s">
        <v>103</v>
      </c>
      <c r="L49" s="74" t="s">
        <v>104</v>
      </c>
      <c r="N49" s="74" t="s">
        <v>120</v>
      </c>
    </row>
    <row r="50" spans="4:14" x14ac:dyDescent="0.2">
      <c r="D50" s="78">
        <f>'Pràctica A'!H53</f>
        <v>0.22475500000000001</v>
      </c>
      <c r="E50" s="87">
        <v>550</v>
      </c>
      <c r="F50" s="35">
        <f>A4*$G$50 + B4*$H$50 +$I$50</f>
        <v>0.22562556849419041</v>
      </c>
      <c r="G50">
        <v>0.20860996881853594</v>
      </c>
      <c r="H50">
        <v>0.39641252418066508</v>
      </c>
      <c r="I50">
        <v>0</v>
      </c>
      <c r="J50" s="86">
        <f>D50-F50</f>
        <v>-8.7056849419039906E-4</v>
      </c>
      <c r="K50" s="86">
        <f>J50^2</f>
        <v>7.5788950307693888E-7</v>
      </c>
      <c r="L50" s="86">
        <f>SUM(K50:K64)</f>
        <v>3.2745938802101474E-6</v>
      </c>
    </row>
    <row r="51" spans="4:14" x14ac:dyDescent="0.2">
      <c r="D51" s="78">
        <f>'Pràctica A'!H54</f>
        <v>0.242007</v>
      </c>
      <c r="E51" s="88">
        <v>545</v>
      </c>
      <c r="F51" s="35">
        <f t="shared" ref="F51:F64" si="6">A5*$G$50 + B5*$H$50 +$I$50</f>
        <v>0.24073673209138938</v>
      </c>
      <c r="J51" s="86">
        <f t="shared" ref="J51:J64" si="7">D51-F51</f>
        <v>1.2702679086106228E-3</v>
      </c>
      <c r="K51" s="86">
        <f t="shared" ref="K51:K64" si="8">J51^2</f>
        <v>1.6135805596460055E-6</v>
      </c>
    </row>
    <row r="52" spans="4:14" x14ac:dyDescent="0.2">
      <c r="D52" s="78">
        <f>'Pràctica A'!H55</f>
        <v>0.257577</v>
      </c>
      <c r="E52" s="88">
        <v>540</v>
      </c>
      <c r="F52" s="35">
        <f t="shared" si="6"/>
        <v>0.25815269431222787</v>
      </c>
      <c r="J52" s="86">
        <f t="shared" si="7"/>
        <v>-5.7569431222787015E-4</v>
      </c>
      <c r="K52" s="86">
        <f t="shared" si="8"/>
        <v>3.3142394113152043E-7</v>
      </c>
    </row>
    <row r="53" spans="4:14" x14ac:dyDescent="0.2">
      <c r="D53" s="78">
        <f>'Pràctica A'!H56</f>
        <v>0.27008300000000002</v>
      </c>
      <c r="E53" s="88">
        <v>535</v>
      </c>
      <c r="F53" s="35">
        <f t="shared" si="6"/>
        <v>0.27045963746144458</v>
      </c>
      <c r="J53" s="86">
        <f t="shared" si="7"/>
        <v>-3.7663746144456223E-4</v>
      </c>
      <c r="K53" s="86">
        <f t="shared" si="8"/>
        <v>1.4185577736340409E-7</v>
      </c>
    </row>
    <row r="54" spans="4:14" x14ac:dyDescent="0.2">
      <c r="D54" s="78">
        <f>'Pràctica A'!H57</f>
        <v>0.27764899999999998</v>
      </c>
      <c r="E54" s="88">
        <v>530</v>
      </c>
      <c r="F54" s="35">
        <f t="shared" si="6"/>
        <v>0.27783981222524962</v>
      </c>
      <c r="J54" s="86">
        <f t="shared" si="7"/>
        <v>-1.9081222524963692E-4</v>
      </c>
      <c r="K54" s="86">
        <f t="shared" si="8"/>
        <v>3.6409305304718177E-8</v>
      </c>
    </row>
    <row r="55" spans="4:14" x14ac:dyDescent="0.2">
      <c r="D55" s="78">
        <f>'Pràctica A'!H58</f>
        <v>0.28016999999999997</v>
      </c>
      <c r="E55" s="88">
        <v>525</v>
      </c>
      <c r="F55" s="35">
        <f t="shared" si="6"/>
        <v>0.28012731675673702</v>
      </c>
      <c r="J55" s="86">
        <f t="shared" si="7"/>
        <v>4.2683243262953141E-5</v>
      </c>
      <c r="K55" s="86">
        <f t="shared" si="8"/>
        <v>1.8218592554444347E-9</v>
      </c>
    </row>
    <row r="56" spans="4:14" x14ac:dyDescent="0.2">
      <c r="D56" s="78">
        <f>'Pràctica A'!H59</f>
        <v>0.27915899999999999</v>
      </c>
      <c r="E56" s="88">
        <v>520</v>
      </c>
      <c r="F56" s="35">
        <f t="shared" si="6"/>
        <v>0.27876139293083457</v>
      </c>
      <c r="J56" s="86">
        <f t="shared" si="7"/>
        <v>3.9760706916541766E-4</v>
      </c>
      <c r="K56" s="86">
        <f t="shared" si="8"/>
        <v>1.5809138145031322E-7</v>
      </c>
    </row>
    <row r="57" spans="4:14" x14ac:dyDescent="0.2">
      <c r="D57" s="78">
        <f>'Pràctica A'!H60</f>
        <v>0.27611999999999998</v>
      </c>
      <c r="E57" s="88">
        <v>515</v>
      </c>
      <c r="F57" s="35">
        <f t="shared" si="6"/>
        <v>0.27580188155205304</v>
      </c>
      <c r="J57" s="86">
        <f t="shared" si="7"/>
        <v>3.1811844794693567E-4</v>
      </c>
      <c r="K57" s="86">
        <f t="shared" si="8"/>
        <v>1.0119934692416721E-7</v>
      </c>
    </row>
    <row r="58" spans="4:14" x14ac:dyDescent="0.2">
      <c r="D58" s="78">
        <f>'Pràctica A'!H61</f>
        <v>0.271117</v>
      </c>
      <c r="E58" s="88">
        <v>510</v>
      </c>
      <c r="F58" s="35">
        <f t="shared" si="6"/>
        <v>0.27089531703927339</v>
      </c>
      <c r="J58" s="86">
        <f t="shared" si="7"/>
        <v>2.216829607266102E-4</v>
      </c>
      <c r="K58" s="86">
        <f t="shared" si="8"/>
        <v>4.9143335076515798E-8</v>
      </c>
    </row>
    <row r="59" spans="4:14" x14ac:dyDescent="0.2">
      <c r="D59" s="78">
        <f>'Pràctica A'!H62</f>
        <v>0.26358399999999998</v>
      </c>
      <c r="E59" s="88">
        <v>505</v>
      </c>
      <c r="F59" s="35">
        <f t="shared" si="6"/>
        <v>0.26356426431051139</v>
      </c>
      <c r="J59" s="86">
        <f t="shared" si="7"/>
        <v>1.9735689488598052E-5</v>
      </c>
      <c r="K59" s="86">
        <f t="shared" si="8"/>
        <v>3.8949743959035961E-10</v>
      </c>
    </row>
    <row r="60" spans="4:14" x14ac:dyDescent="0.2">
      <c r="D60" s="78">
        <f>'Pràctica A'!H63</f>
        <v>0.25330399999999997</v>
      </c>
      <c r="E60" s="88">
        <v>500</v>
      </c>
      <c r="F60" s="35">
        <f t="shared" si="6"/>
        <v>0.25342033346034148</v>
      </c>
      <c r="J60" s="86">
        <f t="shared" si="7"/>
        <v>-1.1633346034151115E-4</v>
      </c>
      <c r="K60" s="86">
        <f t="shared" si="8"/>
        <v>1.3533473995029948E-8</v>
      </c>
    </row>
    <row r="61" spans="4:14" x14ac:dyDescent="0.2">
      <c r="D61" s="78">
        <f>'Pràctica A'!H64</f>
        <v>0.240283</v>
      </c>
      <c r="E61" s="88">
        <v>495</v>
      </c>
      <c r="F61" s="35">
        <f t="shared" si="6"/>
        <v>0.24024719319007903</v>
      </c>
      <c r="J61" s="86">
        <f t="shared" si="7"/>
        <v>3.5806809920962968E-5</v>
      </c>
      <c r="K61" s="86">
        <f t="shared" si="8"/>
        <v>1.282127636715972E-9</v>
      </c>
    </row>
    <row r="62" spans="4:14" x14ac:dyDescent="0.2">
      <c r="D62" s="78">
        <f>'Pràctica A'!H65</f>
        <v>0.22359499999999999</v>
      </c>
      <c r="E62" s="88">
        <v>490</v>
      </c>
      <c r="F62" s="35">
        <f t="shared" si="6"/>
        <v>0.22375589376132482</v>
      </c>
      <c r="J62" s="86">
        <f t="shared" si="7"/>
        <v>-1.608937613248318E-4</v>
      </c>
      <c r="K62" s="86">
        <f t="shared" si="8"/>
        <v>2.5886802433251941E-8</v>
      </c>
    </row>
    <row r="63" spans="4:14" x14ac:dyDescent="0.2">
      <c r="D63" s="78">
        <f>'Pràctica A'!H66</f>
        <v>0.20483599999999999</v>
      </c>
      <c r="E63" s="88">
        <v>485</v>
      </c>
      <c r="F63" s="35">
        <f t="shared" si="6"/>
        <v>0.20477764977036267</v>
      </c>
      <c r="J63" s="86">
        <f t="shared" si="7"/>
        <v>5.8350229637321727E-5</v>
      </c>
      <c r="K63" s="86">
        <f t="shared" si="8"/>
        <v>3.4047492987281788E-9</v>
      </c>
    </row>
    <row r="64" spans="4:14" ht="16" thickBot="1" x14ac:dyDescent="0.25">
      <c r="D64" s="78">
        <f>'Pràctica A'!H67</f>
        <v>0.18429799999999999</v>
      </c>
      <c r="E64" s="89">
        <v>480</v>
      </c>
      <c r="F64" s="35">
        <f t="shared" si="6"/>
        <v>0.18449467796057972</v>
      </c>
      <c r="J64" s="86">
        <f t="shared" si="7"/>
        <v>-1.9667796057973308E-4</v>
      </c>
      <c r="K64" s="86">
        <f t="shared" si="8"/>
        <v>3.8682220177803041E-8</v>
      </c>
      <c r="N64" t="s">
        <v>168</v>
      </c>
    </row>
    <row r="65" spans="14:14" x14ac:dyDescent="0.2">
      <c r="N65" t="s">
        <v>169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820DD-6969-4040-93C5-649CCF9DF955}">
  <dimension ref="A2:V54"/>
  <sheetViews>
    <sheetView topLeftCell="A19" zoomScale="86" zoomScaleNormal="60" workbookViewId="0">
      <selection activeCell="I31" sqref="I31"/>
    </sheetView>
  </sheetViews>
  <sheetFormatPr baseColWidth="10" defaultColWidth="8.83203125" defaultRowHeight="15" x14ac:dyDescent="0.2"/>
  <cols>
    <col min="1" max="1" width="22.5" customWidth="1"/>
    <col min="2" max="2" width="18.83203125" customWidth="1"/>
    <col min="3" max="4" width="15.5" customWidth="1"/>
    <col min="5" max="5" width="18.33203125" customWidth="1"/>
    <col min="8" max="8" width="21.1640625" customWidth="1"/>
    <col min="9" max="9" width="18.6640625" customWidth="1"/>
    <col min="10" max="10" width="18.1640625" customWidth="1"/>
    <col min="12" max="12" width="18" customWidth="1"/>
    <col min="13" max="13" width="17.6640625" customWidth="1"/>
    <col min="18" max="18" width="19.1640625" customWidth="1"/>
  </cols>
  <sheetData>
    <row r="2" spans="1:22" x14ac:dyDescent="0.2">
      <c r="A2" cm="1">
        <f t="array" ref="A2:J18">'Pràctica A'!A51:J67</f>
        <v>0</v>
      </c>
      <c r="B2" s="95" t="str">
        <v>Patrons Co2+ (mg/L)</v>
      </c>
      <c r="C2" s="96">
        <v>0</v>
      </c>
      <c r="D2" s="96">
        <v>0</v>
      </c>
      <c r="E2" s="95" t="str">
        <v>Patrons Ni2+ (mg/L)</v>
      </c>
      <c r="F2" s="96">
        <v>0</v>
      </c>
      <c r="G2" s="95">
        <v>0</v>
      </c>
      <c r="H2" s="95" t="str">
        <v>Mostres Ni / Co (mg/L)</v>
      </c>
      <c r="I2" s="96">
        <v>0</v>
      </c>
      <c r="J2" s="96">
        <v>0</v>
      </c>
      <c r="L2" s="92" cm="1">
        <f t="array" ref="L2:V18">'Pràctica A'!A94:K110</f>
        <v>0</v>
      </c>
      <c r="M2" s="98" t="str">
        <v>Patrons Co2+ (mg/L)</v>
      </c>
      <c r="N2" s="92">
        <v>0</v>
      </c>
      <c r="O2" s="92">
        <v>0</v>
      </c>
      <c r="P2" s="92">
        <v>0</v>
      </c>
      <c r="Q2" s="92">
        <v>0</v>
      </c>
      <c r="R2" s="98" t="str">
        <v>Patrons Ni2+ (mg/L)</v>
      </c>
      <c r="S2" s="92">
        <v>0</v>
      </c>
      <c r="T2" s="92">
        <v>0</v>
      </c>
      <c r="U2" s="92">
        <v>0</v>
      </c>
      <c r="V2" s="92">
        <v>0</v>
      </c>
    </row>
    <row r="3" spans="1:22" x14ac:dyDescent="0.2">
      <c r="A3" s="93" t="str">
        <v>Longitud d'ona (nm)</v>
      </c>
      <c r="B3" s="95">
        <v>0.3</v>
      </c>
      <c r="C3" s="95">
        <v>0.4</v>
      </c>
      <c r="D3" s="95">
        <v>0.5</v>
      </c>
      <c r="E3" s="95">
        <v>0.3</v>
      </c>
      <c r="F3" s="95">
        <v>0.4</v>
      </c>
      <c r="G3" s="95">
        <v>0.5</v>
      </c>
      <c r="H3" s="95" t="str">
        <v>0,2 / 0,4 (mg/mL)</v>
      </c>
      <c r="I3" s="95" t="str">
        <v>0,4 / 0,4 (mg/mL)</v>
      </c>
      <c r="J3" s="95" t="str">
        <v>0,4 / 0,2 (mg/mL)</v>
      </c>
      <c r="L3" s="98" t="str">
        <v>Longitud d'ona (nm)</v>
      </c>
      <c r="M3" s="98" t="str">
        <v>0,3</v>
      </c>
      <c r="N3" s="98" t="str">
        <v>0,4</v>
      </c>
      <c r="O3" s="98" t="str">
        <v>0,5</v>
      </c>
      <c r="P3" s="98" t="str">
        <v>promig</v>
      </c>
      <c r="Q3" s="98" t="str">
        <v>std</v>
      </c>
      <c r="R3" s="98" t="str">
        <v>0,3</v>
      </c>
      <c r="S3" s="98" t="str">
        <v>0,4</v>
      </c>
      <c r="T3" s="98" t="str">
        <v>0,5</v>
      </c>
      <c r="U3" s="98" t="str">
        <v>promig</v>
      </c>
      <c r="V3" s="98" t="str">
        <v>std</v>
      </c>
    </row>
    <row r="4" spans="1:22" x14ac:dyDescent="0.2">
      <c r="A4" s="94">
        <v>550</v>
      </c>
      <c r="B4" s="96">
        <v>0.112216</v>
      </c>
      <c r="C4" s="96">
        <v>0.149505</v>
      </c>
      <c r="D4" s="96">
        <v>0.19617200000000001</v>
      </c>
      <c r="E4" s="96">
        <v>0.107048</v>
      </c>
      <c r="F4" s="96">
        <v>0.13974900000000001</v>
      </c>
      <c r="G4" s="96">
        <v>0.18595200000000001</v>
      </c>
      <c r="H4" s="96">
        <v>0.22475500000000001</v>
      </c>
      <c r="I4" s="96">
        <v>0.297182</v>
      </c>
      <c r="J4" s="96">
        <v>0.22112399999999999</v>
      </c>
      <c r="L4" s="92">
        <v>550</v>
      </c>
      <c r="M4" s="97">
        <v>0.37405333333333335</v>
      </c>
      <c r="N4" s="97">
        <v>0.3737625</v>
      </c>
      <c r="O4" s="97">
        <v>0.39234400000000003</v>
      </c>
      <c r="P4" s="97">
        <v>0.38005327777777781</v>
      </c>
      <c r="Q4" s="97">
        <v>1.0645070951610189E-2</v>
      </c>
      <c r="R4" s="97">
        <v>0.35682666666666668</v>
      </c>
      <c r="S4" s="97">
        <v>0.34937250000000003</v>
      </c>
      <c r="T4" s="97">
        <v>0.37190400000000001</v>
      </c>
      <c r="U4" s="97">
        <v>0.35936772222222224</v>
      </c>
      <c r="V4" s="97">
        <v>1.1478669154776378E-2</v>
      </c>
    </row>
    <row r="5" spans="1:22" x14ac:dyDescent="0.2">
      <c r="A5" s="64">
        <v>545</v>
      </c>
      <c r="B5" s="96">
        <v>0.117358</v>
      </c>
      <c r="C5" s="96">
        <v>0.15624099999999999</v>
      </c>
      <c r="D5" s="96">
        <v>0.20519699999999999</v>
      </c>
      <c r="E5" s="96">
        <v>0.119768</v>
      </c>
      <c r="F5" s="96">
        <v>0.159388</v>
      </c>
      <c r="G5" s="96">
        <v>0.213056</v>
      </c>
      <c r="H5" s="96">
        <v>0.242007</v>
      </c>
      <c r="I5" s="96">
        <v>0.326104</v>
      </c>
      <c r="J5" s="96">
        <v>0.245724</v>
      </c>
      <c r="L5" s="92">
        <v>545</v>
      </c>
      <c r="M5" s="97">
        <v>0.39119333333333334</v>
      </c>
      <c r="N5" s="97">
        <v>0.39060249999999996</v>
      </c>
      <c r="O5" s="97">
        <v>0.41039399999999998</v>
      </c>
      <c r="P5" s="97">
        <v>0.39739661111111108</v>
      </c>
      <c r="Q5" s="97">
        <v>1.1259944913440015E-2</v>
      </c>
      <c r="R5" s="97">
        <v>0.39922666666666667</v>
      </c>
      <c r="S5" s="97">
        <v>0.39846999999999999</v>
      </c>
      <c r="T5" s="97">
        <v>0.42611199999999999</v>
      </c>
      <c r="U5" s="97">
        <v>0.39884833333333336</v>
      </c>
      <c r="V5" s="97">
        <v>5.3504413109783271E-4</v>
      </c>
    </row>
    <row r="6" spans="1:22" x14ac:dyDescent="0.2">
      <c r="A6" s="64">
        <v>540</v>
      </c>
      <c r="B6" s="96">
        <v>0.12113500000000001</v>
      </c>
      <c r="C6" s="96">
        <v>0.16098299999999999</v>
      </c>
      <c r="D6" s="96">
        <v>0.21157000000000001</v>
      </c>
      <c r="E6" s="96">
        <v>0.133105</v>
      </c>
      <c r="F6" s="96">
        <v>0.17990900000000001</v>
      </c>
      <c r="G6" s="96">
        <v>0.24143700000000001</v>
      </c>
      <c r="H6" s="96">
        <v>0.257577</v>
      </c>
      <c r="I6" s="96">
        <v>0.35388999999999998</v>
      </c>
      <c r="J6" s="96">
        <v>0.27023000000000003</v>
      </c>
      <c r="L6" s="92">
        <v>540</v>
      </c>
      <c r="M6" s="97">
        <v>0.40378333333333338</v>
      </c>
      <c r="N6" s="97">
        <v>0.40245749999999997</v>
      </c>
      <c r="O6" s="97">
        <v>0.42314000000000002</v>
      </c>
      <c r="P6" s="97">
        <v>0.40979361111111112</v>
      </c>
      <c r="Q6" s="97">
        <v>1.1577306715598286E-2</v>
      </c>
      <c r="R6" s="97">
        <v>0.44368333333333337</v>
      </c>
      <c r="S6" s="97">
        <v>0.44977250000000002</v>
      </c>
      <c r="T6" s="97">
        <v>0.48287400000000003</v>
      </c>
      <c r="U6" s="97">
        <v>0.45877661111111112</v>
      </c>
      <c r="V6" s="97">
        <v>2.1089869632607266E-2</v>
      </c>
    </row>
    <row r="7" spans="1:22" x14ac:dyDescent="0.2">
      <c r="A7" s="64">
        <v>535</v>
      </c>
      <c r="B7" s="96">
        <v>0.12378</v>
      </c>
      <c r="C7" s="96">
        <v>0.164272</v>
      </c>
      <c r="D7" s="96">
        <v>0.21613499999999999</v>
      </c>
      <c r="E7" s="96">
        <v>0.14415500000000001</v>
      </c>
      <c r="F7" s="96">
        <v>0.197072</v>
      </c>
      <c r="G7" s="96">
        <v>0.26519500000000001</v>
      </c>
      <c r="H7" s="96">
        <v>0.27008300000000002</v>
      </c>
      <c r="I7" s="96">
        <v>0.37645499999999998</v>
      </c>
      <c r="J7" s="96">
        <v>0.29030800000000001</v>
      </c>
      <c r="L7" s="92">
        <v>535</v>
      </c>
      <c r="M7" s="97">
        <v>0.41260000000000002</v>
      </c>
      <c r="N7" s="97">
        <v>0.41067999999999999</v>
      </c>
      <c r="O7" s="97">
        <v>0.43226999999999999</v>
      </c>
      <c r="P7" s="97">
        <v>0.41851666666666665</v>
      </c>
      <c r="Q7" s="97">
        <v>1.1949361210262794E-2</v>
      </c>
      <c r="R7" s="97">
        <v>0.4805166666666667</v>
      </c>
      <c r="S7" s="97">
        <v>0.49267999999999995</v>
      </c>
      <c r="T7" s="97">
        <v>0.53039000000000003</v>
      </c>
      <c r="U7" s="97">
        <v>0.50119555555555551</v>
      </c>
      <c r="V7" s="97">
        <v>2.600429501561732E-2</v>
      </c>
    </row>
    <row r="8" spans="1:22" x14ac:dyDescent="0.2">
      <c r="A8" s="64">
        <v>530</v>
      </c>
      <c r="B8" s="96">
        <v>0.12576100000000001</v>
      </c>
      <c r="C8" s="96">
        <v>0.166382</v>
      </c>
      <c r="D8" s="96">
        <v>0.21912499999999999</v>
      </c>
      <c r="E8" s="96">
        <v>0.15001</v>
      </c>
      <c r="F8" s="96">
        <v>0.20691499999999999</v>
      </c>
      <c r="G8" s="96">
        <v>0.27923199999999998</v>
      </c>
      <c r="H8" s="96">
        <v>0.27764899999999998</v>
      </c>
      <c r="I8" s="96">
        <v>0.39011699999999999</v>
      </c>
      <c r="J8" s="96">
        <v>0.30221599999999998</v>
      </c>
      <c r="L8" s="92">
        <v>530</v>
      </c>
      <c r="M8" s="97">
        <v>0.41920333333333337</v>
      </c>
      <c r="N8" s="97">
        <v>0.41595499999999996</v>
      </c>
      <c r="O8" s="97">
        <v>0.43824999999999997</v>
      </c>
      <c r="P8" s="97">
        <v>0.4244694444444444</v>
      </c>
      <c r="Q8" s="97">
        <v>1.2044322352292205E-2</v>
      </c>
      <c r="R8" s="97">
        <v>0.50003333333333333</v>
      </c>
      <c r="S8" s="97">
        <v>0.5172874999999999</v>
      </c>
      <c r="T8" s="97">
        <v>0.55846399999999996</v>
      </c>
      <c r="U8" s="97">
        <v>0.52526161111111103</v>
      </c>
      <c r="V8" s="97">
        <v>3.0020418681074995E-2</v>
      </c>
    </row>
    <row r="9" spans="1:22" x14ac:dyDescent="0.2">
      <c r="A9" s="64">
        <v>525</v>
      </c>
      <c r="B9" s="96">
        <v>0.12676799999999999</v>
      </c>
      <c r="C9" s="96">
        <v>0.167188</v>
      </c>
      <c r="D9" s="96">
        <v>0.22017100000000001</v>
      </c>
      <c r="E9" s="96">
        <v>0.15082599999999999</v>
      </c>
      <c r="F9" s="96">
        <v>0.20959</v>
      </c>
      <c r="G9" s="96">
        <v>0.283885</v>
      </c>
      <c r="H9" s="96">
        <v>0.28016999999999997</v>
      </c>
      <c r="I9" s="96">
        <v>0.39472099999999999</v>
      </c>
      <c r="J9" s="96">
        <v>0.30606499999999998</v>
      </c>
      <c r="L9" s="92">
        <v>525</v>
      </c>
      <c r="M9" s="97">
        <v>0.42255999999999999</v>
      </c>
      <c r="N9" s="97">
        <v>0.41797000000000001</v>
      </c>
      <c r="O9" s="97">
        <v>0.44034200000000001</v>
      </c>
      <c r="P9" s="97">
        <v>0.42695733333333336</v>
      </c>
      <c r="Q9" s="97">
        <v>1.1816471610990037E-2</v>
      </c>
      <c r="R9" s="97">
        <v>0.50275333333333327</v>
      </c>
      <c r="S9" s="97">
        <v>0.52397499999999997</v>
      </c>
      <c r="T9" s="97">
        <v>0.56777</v>
      </c>
      <c r="U9" s="97">
        <v>0.53149944444444441</v>
      </c>
      <c r="V9" s="97">
        <v>3.3155009942077547E-2</v>
      </c>
    </row>
    <row r="10" spans="1:22" x14ac:dyDescent="0.2">
      <c r="A10" s="64">
        <v>520</v>
      </c>
      <c r="B10" s="96">
        <v>0.12621299999999999</v>
      </c>
      <c r="C10" s="96">
        <v>0.16588</v>
      </c>
      <c r="D10" s="96">
        <v>0.21834500000000001</v>
      </c>
      <c r="E10" s="96">
        <v>0.14934500000000001</v>
      </c>
      <c r="F10" s="96">
        <v>0.209483</v>
      </c>
      <c r="G10" s="96">
        <v>0.28499999999999998</v>
      </c>
      <c r="H10" s="96">
        <v>0.27915899999999999</v>
      </c>
      <c r="I10" s="96">
        <v>0.39447599999999999</v>
      </c>
      <c r="J10" s="96">
        <v>0.30602099999999999</v>
      </c>
      <c r="L10" s="92">
        <v>520</v>
      </c>
      <c r="M10" s="97">
        <v>0.42070999999999997</v>
      </c>
      <c r="N10" s="97">
        <v>0.41469999999999996</v>
      </c>
      <c r="O10" s="97">
        <v>0.43669000000000002</v>
      </c>
      <c r="P10" s="97">
        <v>0.42403333333333332</v>
      </c>
      <c r="Q10" s="97">
        <v>1.1365449103899684E-2</v>
      </c>
      <c r="R10" s="97">
        <v>0.49781666666666669</v>
      </c>
      <c r="S10" s="97">
        <v>0.52370749999999999</v>
      </c>
      <c r="T10" s="97">
        <v>0.56999999999999995</v>
      </c>
      <c r="U10" s="97">
        <v>0.53050805555555547</v>
      </c>
      <c r="V10" s="97">
        <v>3.6569031566011198E-2</v>
      </c>
    </row>
    <row r="11" spans="1:22" x14ac:dyDescent="0.2">
      <c r="A11" s="64">
        <v>515</v>
      </c>
      <c r="B11" s="96">
        <v>0.124223</v>
      </c>
      <c r="C11" s="96">
        <v>0.16248899999999999</v>
      </c>
      <c r="D11" s="96">
        <v>0.21363699999999999</v>
      </c>
      <c r="E11" s="96">
        <v>0.14833199999999999</v>
      </c>
      <c r="F11" s="96">
        <v>0.21040200000000001</v>
      </c>
      <c r="G11" s="96">
        <v>0.28756300000000001</v>
      </c>
      <c r="H11" s="96">
        <v>0.27611999999999998</v>
      </c>
      <c r="I11" s="96">
        <v>0.39258900000000002</v>
      </c>
      <c r="J11" s="96">
        <v>0.30581799999999998</v>
      </c>
      <c r="L11" s="92">
        <v>515</v>
      </c>
      <c r="M11" s="97">
        <v>0.4140766666666667</v>
      </c>
      <c r="N11" s="97">
        <v>0.40622249999999999</v>
      </c>
      <c r="O11" s="97">
        <v>0.42727399999999999</v>
      </c>
      <c r="P11" s="97">
        <v>0.41585772222222223</v>
      </c>
      <c r="Q11" s="97">
        <v>1.0638163950206888E-2</v>
      </c>
      <c r="R11" s="97">
        <v>0.49443999999999999</v>
      </c>
      <c r="S11" s="97">
        <v>0.52600499999999994</v>
      </c>
      <c r="T11" s="97">
        <v>0.57512600000000003</v>
      </c>
      <c r="U11" s="97">
        <v>0.53185700000000002</v>
      </c>
      <c r="V11" s="97">
        <v>4.066007964822501E-2</v>
      </c>
    </row>
    <row r="12" spans="1:22" x14ac:dyDescent="0.2">
      <c r="A12" s="64">
        <v>510</v>
      </c>
      <c r="B12" s="96">
        <v>0.120405</v>
      </c>
      <c r="C12" s="96">
        <v>0.15687100000000001</v>
      </c>
      <c r="D12" s="96">
        <v>0.205932</v>
      </c>
      <c r="E12" s="96">
        <v>0.14774000000000001</v>
      </c>
      <c r="F12" s="96">
        <v>0.21208299999999999</v>
      </c>
      <c r="G12" s="96">
        <v>0.291246</v>
      </c>
      <c r="H12" s="96">
        <v>0.271117</v>
      </c>
      <c r="I12" s="96">
        <v>0.38922899999999999</v>
      </c>
      <c r="J12" s="96">
        <v>0.30512699999999998</v>
      </c>
      <c r="L12" s="92">
        <v>510</v>
      </c>
      <c r="M12" s="97">
        <v>0.40134999999999998</v>
      </c>
      <c r="N12" s="97">
        <v>0.39217750000000001</v>
      </c>
      <c r="O12" s="97">
        <v>0.41186400000000001</v>
      </c>
      <c r="P12" s="97">
        <v>0.40179716666666665</v>
      </c>
      <c r="Q12" s="97">
        <v>9.8508648901166687E-3</v>
      </c>
      <c r="R12" s="97">
        <v>0.49246666666666672</v>
      </c>
      <c r="S12" s="97">
        <v>0.53020749999999994</v>
      </c>
      <c r="T12" s="97">
        <v>0.58249200000000001</v>
      </c>
      <c r="U12" s="97">
        <v>0.53505538888888882</v>
      </c>
      <c r="V12" s="97">
        <v>4.5208037785925879E-2</v>
      </c>
    </row>
    <row r="13" spans="1:22" x14ac:dyDescent="0.2">
      <c r="A13" s="64">
        <v>505</v>
      </c>
      <c r="B13" s="96">
        <v>0.11545999999999999</v>
      </c>
      <c r="C13" s="96">
        <v>0.149307</v>
      </c>
      <c r="D13" s="96">
        <v>0.19592000000000001</v>
      </c>
      <c r="E13" s="96">
        <v>0.14623700000000001</v>
      </c>
      <c r="F13" s="96">
        <v>0.21247099999999999</v>
      </c>
      <c r="G13" s="96">
        <v>0.29320600000000002</v>
      </c>
      <c r="H13" s="96">
        <v>0.26358399999999998</v>
      </c>
      <c r="I13" s="96">
        <v>0.38248500000000002</v>
      </c>
      <c r="J13" s="96">
        <v>0.30235600000000001</v>
      </c>
      <c r="L13" s="92">
        <v>505</v>
      </c>
      <c r="M13" s="97">
        <v>0.38486666666666663</v>
      </c>
      <c r="N13" s="97">
        <v>0.37326749999999997</v>
      </c>
      <c r="O13" s="97">
        <v>0.39184000000000002</v>
      </c>
      <c r="P13" s="97">
        <v>0.38332472222222219</v>
      </c>
      <c r="Q13" s="97">
        <v>9.3817713447309735E-3</v>
      </c>
      <c r="R13" s="97">
        <v>0.4874566666666667</v>
      </c>
      <c r="S13" s="97">
        <v>0.53117749999999997</v>
      </c>
      <c r="T13" s="97">
        <v>0.58641200000000004</v>
      </c>
      <c r="U13" s="97">
        <v>0.535015388888889</v>
      </c>
      <c r="V13" s="97">
        <v>4.9589177671346511E-2</v>
      </c>
    </row>
    <row r="14" spans="1:22" x14ac:dyDescent="0.2">
      <c r="A14" s="64">
        <v>500</v>
      </c>
      <c r="B14" s="96">
        <v>0.109699</v>
      </c>
      <c r="C14" s="96">
        <v>0.140821</v>
      </c>
      <c r="D14" s="96">
        <v>0.184337</v>
      </c>
      <c r="E14" s="96">
        <v>0.14232400000000001</v>
      </c>
      <c r="F14" s="96">
        <v>0.209733</v>
      </c>
      <c r="G14" s="96">
        <v>0.29062399999999999</v>
      </c>
      <c r="H14" s="96">
        <v>0.25330399999999997</v>
      </c>
      <c r="I14" s="96">
        <v>0.370971</v>
      </c>
      <c r="J14" s="96">
        <v>0.29537000000000002</v>
      </c>
      <c r="L14" s="92">
        <v>500</v>
      </c>
      <c r="M14" s="97">
        <v>0.36566333333333334</v>
      </c>
      <c r="N14" s="97">
        <v>0.35205249999999999</v>
      </c>
      <c r="O14" s="97">
        <v>0.368674</v>
      </c>
      <c r="P14" s="97">
        <v>0.36212994444444441</v>
      </c>
      <c r="Q14" s="97">
        <v>8.8561951956013657E-3</v>
      </c>
      <c r="R14" s="97">
        <v>0.47441333333333335</v>
      </c>
      <c r="S14" s="97">
        <v>0.52433249999999998</v>
      </c>
      <c r="T14" s="97">
        <v>0.58124799999999999</v>
      </c>
      <c r="U14" s="97">
        <v>0.52666461111111118</v>
      </c>
      <c r="V14" s="97">
        <v>5.3455500719012713E-2</v>
      </c>
    </row>
    <row r="15" spans="1:22" x14ac:dyDescent="0.2">
      <c r="A15" s="64">
        <v>495</v>
      </c>
      <c r="B15" s="96">
        <v>0.103397</v>
      </c>
      <c r="C15" s="96">
        <v>0.131716</v>
      </c>
      <c r="D15" s="96">
        <v>0.17205300000000001</v>
      </c>
      <c r="E15" s="96">
        <v>0.13561899999999999</v>
      </c>
      <c r="F15" s="96">
        <v>0.201878</v>
      </c>
      <c r="G15" s="96">
        <v>0.28182600000000002</v>
      </c>
      <c r="H15" s="96">
        <v>0.240283</v>
      </c>
      <c r="I15" s="96">
        <v>0.35401199999999999</v>
      </c>
      <c r="J15" s="96">
        <v>0.28359800000000002</v>
      </c>
      <c r="L15" s="92">
        <v>495</v>
      </c>
      <c r="M15" s="97">
        <v>0.34465666666666667</v>
      </c>
      <c r="N15" s="97">
        <v>0.32928999999999997</v>
      </c>
      <c r="O15" s="97">
        <v>0.34410600000000002</v>
      </c>
      <c r="P15" s="97">
        <v>0.33935088888888892</v>
      </c>
      <c r="Q15" s="97">
        <v>8.7173345909383766E-3</v>
      </c>
      <c r="R15" s="97">
        <v>0.45206333333333332</v>
      </c>
      <c r="S15" s="97">
        <v>0.504695</v>
      </c>
      <c r="T15" s="97">
        <v>0.56365200000000004</v>
      </c>
      <c r="U15" s="97">
        <v>0.50680344444444447</v>
      </c>
      <c r="V15" s="97">
        <v>5.5824204298785991E-2</v>
      </c>
    </row>
    <row r="16" spans="1:22" x14ac:dyDescent="0.2">
      <c r="A16" s="64">
        <v>490</v>
      </c>
      <c r="B16" s="96">
        <v>9.6567100000000003E-2</v>
      </c>
      <c r="C16" s="96">
        <v>0.121933</v>
      </c>
      <c r="D16" s="96">
        <v>0.15812999999999999</v>
      </c>
      <c r="E16" s="96">
        <v>0.12574199999999999</v>
      </c>
      <c r="F16" s="96">
        <v>0.18950900000000001</v>
      </c>
      <c r="G16" s="96">
        <v>0.26649499999999998</v>
      </c>
      <c r="H16" s="96">
        <v>0.22359499999999999</v>
      </c>
      <c r="I16" s="96">
        <v>0.330733</v>
      </c>
      <c r="J16" s="96">
        <v>0.26625399999999999</v>
      </c>
      <c r="L16" s="92">
        <v>490</v>
      </c>
      <c r="M16" s="97">
        <v>0.32189033333333333</v>
      </c>
      <c r="N16" s="97">
        <v>0.30483250000000001</v>
      </c>
      <c r="O16" s="97">
        <v>0.31625999999999999</v>
      </c>
      <c r="P16" s="97">
        <v>0.31432761111111113</v>
      </c>
      <c r="Q16" s="97">
        <v>8.6915484593005805E-3</v>
      </c>
      <c r="R16" s="97">
        <v>0.41914000000000001</v>
      </c>
      <c r="S16" s="97">
        <v>0.47377249999999999</v>
      </c>
      <c r="T16" s="97">
        <v>0.53298999999999996</v>
      </c>
      <c r="U16" s="97">
        <v>0.47530083333333328</v>
      </c>
      <c r="V16" s="97">
        <v>5.6940385290963132E-2</v>
      </c>
    </row>
    <row r="17" spans="1:22" x14ac:dyDescent="0.2">
      <c r="A17" s="64">
        <v>485</v>
      </c>
      <c r="B17" s="96">
        <v>8.9074E-2</v>
      </c>
      <c r="C17" s="96">
        <v>0.11087</v>
      </c>
      <c r="D17" s="96">
        <v>0.143126</v>
      </c>
      <c r="E17" s="96">
        <v>0.113828</v>
      </c>
      <c r="F17" s="96">
        <v>0.174151</v>
      </c>
      <c r="G17" s="96">
        <v>0.24760799999999999</v>
      </c>
      <c r="H17" s="96">
        <v>0.20483599999999999</v>
      </c>
      <c r="I17" s="96">
        <v>0.30288399999999999</v>
      </c>
      <c r="J17" s="96">
        <v>0.24532499999999999</v>
      </c>
      <c r="L17" s="92">
        <v>485</v>
      </c>
      <c r="M17" s="97">
        <v>0.29691333333333336</v>
      </c>
      <c r="N17" s="97">
        <v>0.27717499999999995</v>
      </c>
      <c r="O17" s="97">
        <v>0.28625200000000001</v>
      </c>
      <c r="P17" s="97">
        <v>0.28678011111111107</v>
      </c>
      <c r="Q17" s="97">
        <v>9.8797584334691345E-3</v>
      </c>
      <c r="R17" s="97">
        <v>0.37942666666666669</v>
      </c>
      <c r="S17" s="97">
        <v>0.43537749999999997</v>
      </c>
      <c r="T17" s="97">
        <v>0.49521599999999999</v>
      </c>
      <c r="U17" s="97">
        <v>0.4366733888888889</v>
      </c>
      <c r="V17" s="97">
        <v>5.7905543123725867E-2</v>
      </c>
    </row>
    <row r="18" spans="1:22" ht="16" thickBot="1" x14ac:dyDescent="0.25">
      <c r="A18" s="65">
        <v>480</v>
      </c>
      <c r="B18" s="96">
        <v>8.0953499999999998E-2</v>
      </c>
      <c r="C18" s="96">
        <v>9.9102499999999996E-2</v>
      </c>
      <c r="D18" s="96">
        <v>0.12662699999999999</v>
      </c>
      <c r="E18" s="96">
        <v>0.101215</v>
      </c>
      <c r="F18" s="96">
        <v>0.15828400000000001</v>
      </c>
      <c r="G18" s="96">
        <v>0.22764200000000001</v>
      </c>
      <c r="H18" s="96">
        <v>0.18429799999999999</v>
      </c>
      <c r="I18" s="96">
        <v>0.27276800000000001</v>
      </c>
      <c r="J18" s="96">
        <v>0.22297400000000001</v>
      </c>
      <c r="L18" s="92">
        <v>480</v>
      </c>
      <c r="M18" s="97">
        <v>0.269845</v>
      </c>
      <c r="N18" s="97">
        <v>0.24775624999999998</v>
      </c>
      <c r="O18" s="97">
        <v>0.25325399999999998</v>
      </c>
      <c r="P18" s="97">
        <v>0.25695174999999998</v>
      </c>
      <c r="Q18" s="97">
        <v>1.1499271082877394E-2</v>
      </c>
      <c r="R18" s="97">
        <v>0.33738333333333337</v>
      </c>
      <c r="S18" s="97">
        <v>0.39571000000000001</v>
      </c>
      <c r="T18" s="97">
        <v>0.45528400000000002</v>
      </c>
      <c r="U18" s="97">
        <v>0.3961257777777778</v>
      </c>
      <c r="V18" s="97">
        <v>5.8951433006174468E-2</v>
      </c>
    </row>
    <row r="20" spans="1:22" ht="17" x14ac:dyDescent="0.2">
      <c r="A20" s="85" t="s">
        <v>117</v>
      </c>
      <c r="B20" s="103" t="s">
        <v>127</v>
      </c>
      <c r="C20" s="134" t="s">
        <v>123</v>
      </c>
      <c r="D20" s="134"/>
      <c r="F20" s="134" t="s">
        <v>131</v>
      </c>
      <c r="G20" s="134"/>
    </row>
    <row r="21" spans="1:22" x14ac:dyDescent="0.2">
      <c r="A21" s="48">
        <v>550</v>
      </c>
      <c r="B21" s="103" t="s">
        <v>128</v>
      </c>
      <c r="C21" s="99">
        <f>U4</f>
        <v>0.35936772222222224</v>
      </c>
      <c r="D21" s="100">
        <f>P4</f>
        <v>0.38005327777777781</v>
      </c>
      <c r="F21" s="99" cm="1">
        <f t="array" ref="F21:T22">TRANSPOSE(C21:D35)</f>
        <v>0.35936772222222224</v>
      </c>
      <c r="G21" s="106">
        <v>0.39884833333333336</v>
      </c>
      <c r="H21" s="104">
        <v>0.45877661111111112</v>
      </c>
      <c r="I21" s="104">
        <v>0.50119555555555551</v>
      </c>
      <c r="J21" s="104">
        <v>0.52526161111111103</v>
      </c>
      <c r="K21" s="104">
        <v>0.53149944444444441</v>
      </c>
      <c r="L21" s="104">
        <v>0.53050805555555547</v>
      </c>
      <c r="M21" s="104">
        <v>0.53185700000000002</v>
      </c>
      <c r="N21" s="104">
        <v>0.53505538888888882</v>
      </c>
      <c r="O21" s="104">
        <v>0.535015388888889</v>
      </c>
      <c r="P21" s="104">
        <v>0.52666461111111118</v>
      </c>
      <c r="Q21" s="104">
        <v>0.50680344444444447</v>
      </c>
      <c r="R21" s="104">
        <v>0.47530083333333328</v>
      </c>
      <c r="S21" s="104">
        <v>0.4366733888888889</v>
      </c>
      <c r="T21" s="105">
        <v>0.3961257777777778</v>
      </c>
    </row>
    <row r="22" spans="1:22" ht="17" x14ac:dyDescent="0.2">
      <c r="A22" s="26">
        <v>545</v>
      </c>
      <c r="C22" s="99">
        <f>U5</f>
        <v>0.39884833333333336</v>
      </c>
      <c r="D22" s="100">
        <f t="shared" ref="D22:D35" si="0">P5</f>
        <v>0.39739661111111108</v>
      </c>
      <c r="E22" s="101" t="s">
        <v>132</v>
      </c>
      <c r="F22" s="99">
        <v>0.38005327777777781</v>
      </c>
      <c r="G22" s="106">
        <v>0.39739661111111108</v>
      </c>
      <c r="H22" s="104">
        <v>0.40979361111111112</v>
      </c>
      <c r="I22" s="104">
        <v>0.41851666666666665</v>
      </c>
      <c r="J22" s="104">
        <v>0.4244694444444444</v>
      </c>
      <c r="K22" s="104">
        <v>0.42695733333333336</v>
      </c>
      <c r="L22" s="104">
        <v>0.42403333333333332</v>
      </c>
      <c r="M22" s="104">
        <v>0.41585772222222223</v>
      </c>
      <c r="N22" s="104">
        <v>0.40179716666666665</v>
      </c>
      <c r="O22" s="104">
        <v>0.38332472222222219</v>
      </c>
      <c r="P22" s="104">
        <v>0.36212994444444441</v>
      </c>
      <c r="Q22" s="104">
        <v>0.33935088888888892</v>
      </c>
      <c r="R22" s="104">
        <v>0.31432761111111113</v>
      </c>
      <c r="S22" s="104">
        <v>0.28678011111111107</v>
      </c>
      <c r="T22" s="105">
        <v>0.25695174999999998</v>
      </c>
    </row>
    <row r="23" spans="1:22" x14ac:dyDescent="0.2">
      <c r="A23" s="26">
        <v>540</v>
      </c>
      <c r="C23" s="99">
        <f t="shared" ref="C22:C35" si="1">U6</f>
        <v>0.45877661111111112</v>
      </c>
      <c r="D23" s="100">
        <f t="shared" si="0"/>
        <v>0.40979361111111112</v>
      </c>
      <c r="F23" s="107"/>
      <c r="G23" s="107"/>
    </row>
    <row r="24" spans="1:22" ht="17" x14ac:dyDescent="0.2">
      <c r="A24" s="26">
        <v>535</v>
      </c>
      <c r="C24" s="99">
        <f t="shared" si="1"/>
        <v>0.50119555555555551</v>
      </c>
      <c r="D24" s="100">
        <f t="shared" si="0"/>
        <v>0.41851666666666665</v>
      </c>
      <c r="F24" s="134" t="s">
        <v>134</v>
      </c>
      <c r="G24" s="134"/>
    </row>
    <row r="25" spans="1:22" x14ac:dyDescent="0.2">
      <c r="A25" s="26">
        <v>530</v>
      </c>
      <c r="B25" s="101" t="s">
        <v>124</v>
      </c>
      <c r="C25" s="99">
        <f t="shared" si="1"/>
        <v>0.52526161111111103</v>
      </c>
      <c r="D25" s="100">
        <f t="shared" si="0"/>
        <v>0.4244694444444444</v>
      </c>
      <c r="E25" s="101"/>
      <c r="F25" s="99" cm="1">
        <f t="array" ref="F25:G26">MMULT(F21:T22,C21:D35)</f>
        <v>3.552861443574991</v>
      </c>
      <c r="G25" s="100">
        <v>2.7480455242698456</v>
      </c>
    </row>
    <row r="26" spans="1:22" ht="17" x14ac:dyDescent="0.2">
      <c r="A26" s="26">
        <v>525</v>
      </c>
      <c r="C26" s="99">
        <f t="shared" si="1"/>
        <v>0.53149944444444441</v>
      </c>
      <c r="D26" s="100">
        <f t="shared" si="0"/>
        <v>0.42695733333333336</v>
      </c>
      <c r="E26" s="101" t="s">
        <v>133</v>
      </c>
      <c r="F26" s="99">
        <v>2.7480455242698456</v>
      </c>
      <c r="G26" s="100">
        <v>2.1624051604461116</v>
      </c>
    </row>
    <row r="27" spans="1:22" x14ac:dyDescent="0.2">
      <c r="A27" s="26">
        <v>520</v>
      </c>
      <c r="C27" s="99">
        <f t="shared" si="1"/>
        <v>0.53050805555555547</v>
      </c>
      <c r="D27" s="100">
        <f t="shared" si="0"/>
        <v>0.42403333333333332</v>
      </c>
      <c r="F27" s="107"/>
      <c r="G27" s="107"/>
    </row>
    <row r="28" spans="1:22" ht="17" x14ac:dyDescent="0.2">
      <c r="A28" s="26">
        <v>515</v>
      </c>
      <c r="C28" s="99">
        <f t="shared" si="1"/>
        <v>0.53185700000000002</v>
      </c>
      <c r="D28" s="100">
        <f t="shared" si="0"/>
        <v>0.41585772222222223</v>
      </c>
      <c r="F28" s="134" t="s">
        <v>135</v>
      </c>
      <c r="G28" s="134"/>
    </row>
    <row r="29" spans="1:22" x14ac:dyDescent="0.2">
      <c r="A29" s="26">
        <v>510</v>
      </c>
      <c r="C29" s="99">
        <f t="shared" si="1"/>
        <v>0.53505538888888882</v>
      </c>
      <c r="D29" s="100">
        <f t="shared" si="0"/>
        <v>0.40179716666666665</v>
      </c>
      <c r="E29" s="101"/>
      <c r="F29" s="99" cm="1">
        <f t="array" ref="F29:G30">MINVERSE(_xlfn.ANCHORARRAY(F25))</f>
        <v>16.510474311642675</v>
      </c>
      <c r="G29" s="100">
        <v>-20.98197685873151</v>
      </c>
    </row>
    <row r="30" spans="1:22" ht="17" x14ac:dyDescent="0.2">
      <c r="A30" s="26">
        <v>505</v>
      </c>
      <c r="C30" s="99">
        <f t="shared" si="1"/>
        <v>0.535015388888889</v>
      </c>
      <c r="D30" s="100">
        <f t="shared" si="0"/>
        <v>0.38332472222222219</v>
      </c>
      <c r="E30" s="101" t="s">
        <v>136</v>
      </c>
      <c r="F30" s="99">
        <v>-20.98197685873151</v>
      </c>
      <c r="G30" s="100">
        <v>27.126936556546582</v>
      </c>
    </row>
    <row r="31" spans="1:22" x14ac:dyDescent="0.2">
      <c r="A31" s="26">
        <v>500</v>
      </c>
      <c r="C31" s="99">
        <f t="shared" si="1"/>
        <v>0.52666461111111118</v>
      </c>
      <c r="D31" s="100">
        <f t="shared" si="0"/>
        <v>0.36212994444444441</v>
      </c>
      <c r="F31" s="107"/>
      <c r="G31" s="107"/>
    </row>
    <row r="32" spans="1:22" ht="17" x14ac:dyDescent="0.2">
      <c r="A32" s="26">
        <v>495</v>
      </c>
      <c r="C32" s="99">
        <f t="shared" si="1"/>
        <v>0.50680344444444447</v>
      </c>
      <c r="D32" s="100">
        <f t="shared" si="0"/>
        <v>0.33935088888888892</v>
      </c>
      <c r="F32" s="134" t="s">
        <v>138</v>
      </c>
      <c r="G32" s="134"/>
    </row>
    <row r="33" spans="1:20" x14ac:dyDescent="0.2">
      <c r="A33" s="26">
        <v>490</v>
      </c>
      <c r="C33" s="99">
        <f t="shared" si="1"/>
        <v>0.47530083333333328</v>
      </c>
      <c r="D33" s="100">
        <f t="shared" si="0"/>
        <v>0.31432761111111113</v>
      </c>
      <c r="E33" s="101"/>
      <c r="F33" s="99" cm="1">
        <f t="array" ref="F33:T34">MMULT(_xlfn.ANCHORARRAY(F29),_xlfn.ANCHORARRAY(F21))</f>
        <v>-2.0409375332348514</v>
      </c>
      <c r="G33" s="106">
        <v>-1.7529913363301626</v>
      </c>
      <c r="H33" s="104">
        <v>-1.0236606126568724</v>
      </c>
      <c r="I33" s="104">
        <v>-0.50633066988397069</v>
      </c>
      <c r="J33" s="104">
        <v>-0.23388972342990932</v>
      </c>
      <c r="K33" s="104">
        <v>-0.18310096351336291</v>
      </c>
      <c r="L33" s="104">
        <v>-0.13811796396128173</v>
      </c>
      <c r="M33" s="104">
        <v>5.5694231775875735E-2</v>
      </c>
      <c r="N33" s="104">
        <v>0.40351940065209213</v>
      </c>
      <c r="O33" s="104">
        <v>0.79044738353716859</v>
      </c>
      <c r="P33" s="104">
        <v>1.0972804184142202</v>
      </c>
      <c r="Q33" s="104">
        <v>1.2473127528953905</v>
      </c>
      <c r="R33" s="104">
        <v>1.2522275366586637</v>
      </c>
      <c r="S33" s="104">
        <v>1.1924711149501679</v>
      </c>
      <c r="T33" s="105">
        <v>1.1488688058689114</v>
      </c>
    </row>
    <row r="34" spans="1:20" ht="17" x14ac:dyDescent="0.2">
      <c r="A34" s="26">
        <v>485</v>
      </c>
      <c r="C34" s="99">
        <f t="shared" si="1"/>
        <v>0.4366733888888889</v>
      </c>
      <c r="D34" s="100">
        <f t="shared" si="0"/>
        <v>0.28678011111111107</v>
      </c>
      <c r="E34" s="101" t="s">
        <v>137</v>
      </c>
      <c r="F34" s="99">
        <v>2.7694359229436332</v>
      </c>
      <c r="G34" s="106">
        <v>2.4115261572540927</v>
      </c>
      <c r="H34" s="104">
        <v>1.4904050522286347</v>
      </c>
      <c r="I34" s="104">
        <v>0.83700151615827245</v>
      </c>
      <c r="J34" s="104">
        <v>0.49352872052365626</v>
      </c>
      <c r="K34" s="104">
        <v>0.43013544992365915</v>
      </c>
      <c r="L34" s="104">
        <v>0.37161758615698659</v>
      </c>
      <c r="M34" s="104">
        <v>0.12153478111782867</v>
      </c>
      <c r="N34" s="104">
        <v>-0.32699353903941386</v>
      </c>
      <c r="O34" s="104">
        <v>-0.8272550884538461</v>
      </c>
      <c r="P34" s="104">
        <v>-1.2269886544759832</v>
      </c>
      <c r="Q34" s="104">
        <v>-1.4281881099621767</v>
      </c>
      <c r="R34" s="104">
        <v>-1.4460059213538425</v>
      </c>
      <c r="S34" s="104">
        <v>-1.3828050607000435</v>
      </c>
      <c r="T34" s="105">
        <v>-1.3411880821367372</v>
      </c>
    </row>
    <row r="35" spans="1:20" ht="16" thickBot="1" x14ac:dyDescent="0.25">
      <c r="A35" s="27">
        <v>480</v>
      </c>
      <c r="C35" s="99">
        <f t="shared" si="1"/>
        <v>0.3961257777777778</v>
      </c>
      <c r="D35" s="100">
        <f t="shared" si="0"/>
        <v>0.25695174999999998</v>
      </c>
      <c r="F35" s="107"/>
      <c r="G35" s="107"/>
    </row>
    <row r="37" spans="1:20" ht="22.75" customHeight="1" x14ac:dyDescent="0.2">
      <c r="C37" s="135" t="s">
        <v>114</v>
      </c>
      <c r="D37" s="133"/>
      <c r="E37" s="133"/>
      <c r="F37" s="133"/>
      <c r="G37" s="133"/>
      <c r="H37" s="133"/>
      <c r="I37" s="133"/>
      <c r="J37" s="133"/>
      <c r="K37" s="133"/>
      <c r="L37" s="133"/>
      <c r="M37" s="133"/>
    </row>
    <row r="38" spans="1:20" x14ac:dyDescent="0.2">
      <c r="C38" s="135" t="s">
        <v>76</v>
      </c>
      <c r="D38" s="133"/>
      <c r="E38" s="133"/>
      <c r="G38" s="133" t="s">
        <v>77</v>
      </c>
      <c r="H38" s="133"/>
      <c r="I38" s="133"/>
      <c r="K38" s="133" t="s">
        <v>91</v>
      </c>
      <c r="L38" s="133"/>
      <c r="M38" s="133"/>
    </row>
    <row r="39" spans="1:20" x14ac:dyDescent="0.2">
      <c r="A39" s="74" t="s">
        <v>140</v>
      </c>
      <c r="C39" s="102" t="s">
        <v>139</v>
      </c>
      <c r="E39" s="91" t="s">
        <v>125</v>
      </c>
      <c r="G39" s="102" t="s">
        <v>139</v>
      </c>
      <c r="I39" s="91" t="s">
        <v>125</v>
      </c>
      <c r="K39" s="102" t="s">
        <v>139</v>
      </c>
      <c r="M39" s="91" t="s">
        <v>125</v>
      </c>
    </row>
    <row r="40" spans="1:20" x14ac:dyDescent="0.2">
      <c r="C40" s="109">
        <f>'Pràctica A'!H53</f>
        <v>0.22475500000000001</v>
      </c>
      <c r="E40" s="110" cm="1">
        <f t="array" ref="E40:E41">MMULT(F33:T34,C40:C54)</f>
        <v>0.20860382259828139</v>
      </c>
      <c r="G40" s="109">
        <f>'Pràctica A'!I53</f>
        <v>0.297182</v>
      </c>
      <c r="I40" s="110" cm="1">
        <f t="array" ref="I40:I41">MMULT(F33:T34,G40:G54)</f>
        <v>0.46952787103180232</v>
      </c>
      <c r="K40" s="109">
        <f>'Pràctica A'!J53</f>
        <v>0.22112399999999999</v>
      </c>
      <c r="M40" s="110" cm="1">
        <f t="array" ref="M40:M41">MMULT(F33:T34,K40:K54)</f>
        <v>0.46445305485432048</v>
      </c>
    </row>
    <row r="41" spans="1:20" x14ac:dyDescent="0.2">
      <c r="C41" s="109">
        <f>'Pràctica A'!H54</f>
        <v>0.242007</v>
      </c>
      <c r="D41" s="101" t="s">
        <v>126</v>
      </c>
      <c r="E41" s="110">
        <v>0.39642070357379855</v>
      </c>
      <c r="G41" s="109">
        <f>'Pràctica A'!I54</f>
        <v>0.326104</v>
      </c>
      <c r="H41" s="101" t="s">
        <v>126</v>
      </c>
      <c r="I41" s="110">
        <v>0.34122699481290447</v>
      </c>
      <c r="K41" s="109">
        <f>'Pràctica A'!J54</f>
        <v>0.245724</v>
      </c>
      <c r="L41" s="101" t="s">
        <v>126</v>
      </c>
      <c r="M41" s="110">
        <v>0.14175237609521807</v>
      </c>
    </row>
    <row r="42" spans="1:20" x14ac:dyDescent="0.2">
      <c r="C42" s="109">
        <f>'Pràctica A'!H55</f>
        <v>0.257577</v>
      </c>
      <c r="G42" s="109">
        <f>'Pràctica A'!I55</f>
        <v>0.35388999999999998</v>
      </c>
      <c r="K42" s="109">
        <f>'Pràctica A'!J55</f>
        <v>0.27023000000000003</v>
      </c>
    </row>
    <row r="43" spans="1:20" x14ac:dyDescent="0.2">
      <c r="C43" s="109">
        <f>'Pràctica A'!H56</f>
        <v>0.27008300000000002</v>
      </c>
      <c r="G43" s="109">
        <f>'Pràctica A'!I56</f>
        <v>0.37645499999999998</v>
      </c>
      <c r="K43" s="109">
        <f>'Pràctica A'!J56</f>
        <v>0.29030800000000001</v>
      </c>
    </row>
    <row r="44" spans="1:20" x14ac:dyDescent="0.2">
      <c r="C44" s="109">
        <f>'Pràctica A'!H57</f>
        <v>0.27764899999999998</v>
      </c>
      <c r="G44" s="109">
        <f>'Pràctica A'!I57</f>
        <v>0.39011699999999999</v>
      </c>
      <c r="K44" s="109">
        <f>'Pràctica A'!J57</f>
        <v>0.30221599999999998</v>
      </c>
    </row>
    <row r="45" spans="1:20" x14ac:dyDescent="0.2">
      <c r="C45" s="109">
        <f>'Pràctica A'!H58</f>
        <v>0.28016999999999997</v>
      </c>
      <c r="G45" s="109">
        <f>'Pràctica A'!I58</f>
        <v>0.39472099999999999</v>
      </c>
      <c r="K45" s="109">
        <f>'Pràctica A'!J58</f>
        <v>0.30606499999999998</v>
      </c>
    </row>
    <row r="46" spans="1:20" x14ac:dyDescent="0.2">
      <c r="C46" s="109">
        <f>'Pràctica A'!H59</f>
        <v>0.27915899999999999</v>
      </c>
      <c r="G46" s="109">
        <f>'Pràctica A'!I59</f>
        <v>0.39447599999999999</v>
      </c>
      <c r="K46" s="109">
        <f>'Pràctica A'!J59</f>
        <v>0.30602099999999999</v>
      </c>
    </row>
    <row r="47" spans="1:20" x14ac:dyDescent="0.2">
      <c r="C47" s="99">
        <f>'Pràctica A'!H60</f>
        <v>0.27611999999999998</v>
      </c>
      <c r="D47" s="108"/>
      <c r="G47" s="109">
        <f>'Pràctica A'!I60</f>
        <v>0.39258900000000002</v>
      </c>
      <c r="H47" s="107"/>
      <c r="K47" s="109">
        <f>'Pràctica A'!J60</f>
        <v>0.30581799999999998</v>
      </c>
      <c r="L47" s="107"/>
    </row>
    <row r="48" spans="1:20" x14ac:dyDescent="0.2">
      <c r="C48" s="99">
        <f>'Pràctica A'!H61</f>
        <v>0.271117</v>
      </c>
      <c r="D48" s="108"/>
      <c r="G48" s="109">
        <f>'Pràctica A'!I61</f>
        <v>0.38922899999999999</v>
      </c>
      <c r="H48" s="108"/>
      <c r="K48" s="109">
        <f>'Pràctica A'!J61</f>
        <v>0.30512699999999998</v>
      </c>
      <c r="L48" s="107"/>
    </row>
    <row r="49" spans="3:12" x14ac:dyDescent="0.2">
      <c r="C49" s="99">
        <f>'Pràctica A'!H62</f>
        <v>0.26358399999999998</v>
      </c>
      <c r="D49" s="108"/>
      <c r="G49" s="109">
        <f>'Pràctica A'!I62</f>
        <v>0.38248500000000002</v>
      </c>
      <c r="H49" s="108"/>
      <c r="K49" s="109">
        <f>'Pràctica A'!J62</f>
        <v>0.30235600000000001</v>
      </c>
      <c r="L49" s="107"/>
    </row>
    <row r="50" spans="3:12" x14ac:dyDescent="0.2">
      <c r="C50" s="99">
        <f>'Pràctica A'!H63</f>
        <v>0.25330399999999997</v>
      </c>
      <c r="D50" s="108"/>
      <c r="G50" s="109">
        <f>'Pràctica A'!I63</f>
        <v>0.370971</v>
      </c>
      <c r="H50" s="108"/>
      <c r="K50" s="109">
        <f>'Pràctica A'!J63</f>
        <v>0.29537000000000002</v>
      </c>
      <c r="L50" s="108"/>
    </row>
    <row r="51" spans="3:12" x14ac:dyDescent="0.2">
      <c r="C51" s="99">
        <f>'Pràctica A'!H64</f>
        <v>0.240283</v>
      </c>
      <c r="D51" s="108"/>
      <c r="G51" s="109">
        <f>'Pràctica A'!I64</f>
        <v>0.35401199999999999</v>
      </c>
      <c r="H51" s="108"/>
      <c r="K51" s="109">
        <f>'Pràctica A'!J64</f>
        <v>0.28359800000000002</v>
      </c>
      <c r="L51" s="108"/>
    </row>
    <row r="52" spans="3:12" x14ac:dyDescent="0.2">
      <c r="C52" s="99">
        <f>'Pràctica A'!H65</f>
        <v>0.22359499999999999</v>
      </c>
      <c r="D52" s="108"/>
      <c r="G52" s="109">
        <f>'Pràctica A'!I65</f>
        <v>0.330733</v>
      </c>
      <c r="H52" s="108"/>
      <c r="K52" s="109">
        <f>'Pràctica A'!J65</f>
        <v>0.26625399999999999</v>
      </c>
      <c r="L52" s="108"/>
    </row>
    <row r="53" spans="3:12" x14ac:dyDescent="0.2">
      <c r="C53" s="99">
        <f>'Pràctica A'!H66</f>
        <v>0.20483599999999999</v>
      </c>
      <c r="D53" s="108"/>
      <c r="G53" s="109">
        <f>'Pràctica A'!I66</f>
        <v>0.30288399999999999</v>
      </c>
      <c r="H53" s="108"/>
      <c r="K53" s="109">
        <f>'Pràctica A'!J66</f>
        <v>0.24532499999999999</v>
      </c>
      <c r="L53" s="108"/>
    </row>
    <row r="54" spans="3:12" x14ac:dyDescent="0.2">
      <c r="C54" s="99">
        <f>'Pràctica A'!H67</f>
        <v>0.18429799999999999</v>
      </c>
      <c r="D54" s="108"/>
      <c r="G54" s="109">
        <f>'Pràctica A'!I67</f>
        <v>0.27276800000000001</v>
      </c>
      <c r="H54" s="108"/>
      <c r="K54" s="109">
        <f>'Pràctica A'!J67</f>
        <v>0.22297400000000001</v>
      </c>
      <c r="L54" s="108"/>
    </row>
  </sheetData>
  <mergeCells count="9">
    <mergeCell ref="K38:M38"/>
    <mergeCell ref="F32:G32"/>
    <mergeCell ref="C37:M37"/>
    <mergeCell ref="C20:D20"/>
    <mergeCell ref="F20:G20"/>
    <mergeCell ref="F24:G24"/>
    <mergeCell ref="F28:G28"/>
    <mergeCell ref="C38:E38"/>
    <mergeCell ref="G38:I3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05755-B3F4-A041-8801-ACD56112111B}">
  <dimension ref="A1"/>
  <sheetViews>
    <sheetView workbookViewId="0">
      <selection activeCell="C23" sqref="C23"/>
    </sheetView>
  </sheetViews>
  <sheetFormatPr baseColWidth="10" defaultColWidth="11.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Pràctica A</vt:lpstr>
      <vt:lpstr>Solver</vt:lpstr>
      <vt:lpstr>Matricial</vt:lpstr>
      <vt:lpstr>Càlculs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IGNASI</dc:creator>
  <cp:keywords/>
  <dc:description/>
  <cp:lastModifiedBy>Domènec Huerta Estradé</cp:lastModifiedBy>
  <cp:revision/>
  <dcterms:created xsi:type="dcterms:W3CDTF">2021-03-22T14:48:22Z</dcterms:created>
  <dcterms:modified xsi:type="dcterms:W3CDTF">2025-05-11T08:20:05Z</dcterms:modified>
  <cp:category/>
  <cp:contentStatus/>
</cp:coreProperties>
</file>