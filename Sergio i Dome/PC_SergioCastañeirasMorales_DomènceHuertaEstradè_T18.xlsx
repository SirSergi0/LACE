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defaultThemeVersion="166925"/>
  <mc:AlternateContent xmlns:mc="http://schemas.openxmlformats.org/markup-compatibility/2006">
    <mc:Choice Requires="x15">
      <x15ac:absPath xmlns:x15ac="http://schemas.microsoft.com/office/spreadsheetml/2010/11/ac" url="/Users/sergio/Desktop/University/5nto/LACE/LACE/Sergio i Dome/"/>
    </mc:Choice>
  </mc:AlternateContent>
  <xr:revisionPtr revIDLastSave="0" documentId="13_ncr:1_{BDA02C41-B8C2-C745-BE59-A4A3C3D99AA4}" xr6:coauthVersionLast="47" xr6:coauthVersionMax="47" xr10:uidLastSave="{00000000-0000-0000-0000-000000000000}"/>
  <bookViews>
    <workbookView xWindow="0" yWindow="840" windowWidth="34200" windowHeight="21400" activeTab="1" xr2:uid="{00000000-000D-0000-FFFF-FFFF00000000}"/>
  </bookViews>
  <sheets>
    <sheet name="C1" sheetId="1" r:id="rId1"/>
    <sheet name="C2" sheetId="4" r:id="rId2"/>
    <sheet name="Càlculs" sheetId="3" r:id="rId3"/>
  </sheets>
  <externalReferences>
    <externalReference r:id="rId4"/>
  </externalReferences>
  <definedNames>
    <definedName name="_xlchart.v1.0" hidden="1">'C2'!$B$29</definedName>
    <definedName name="_xlchart.v1.1" hidden="1">'C2'!$B$30:$B$34</definedName>
    <definedName name="_xlchart.v1.2" hidden="1">'C2'!$C$30:$C$34</definedName>
    <definedName name="_xlnm.Print_Area" localSheetId="0">'C1'!$A$1:$I$60</definedName>
    <definedName name="_xlnm.Print_Area" localSheetId="1">'C2'!$A$1:$I$4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6" i="1" l="1"/>
  <c r="N93" i="4"/>
  <c r="E105" i="1"/>
  <c r="J94" i="4"/>
  <c r="J95" i="4"/>
  <c r="J96" i="4"/>
  <c r="J97" i="4"/>
  <c r="J93" i="4"/>
  <c r="I94" i="4"/>
  <c r="I95" i="4"/>
  <c r="I96" i="4"/>
  <c r="I97" i="4"/>
  <c r="K97" i="4" s="1"/>
  <c r="I93" i="4"/>
  <c r="K93" i="4" l="1"/>
  <c r="Q92" i="4"/>
  <c r="K96" i="4"/>
  <c r="K95" i="4"/>
  <c r="K94" i="4"/>
  <c r="N94" i="4" s="1"/>
  <c r="Q94" i="4"/>
  <c r="Q93" i="4"/>
  <c r="Q95" i="4" l="1"/>
  <c r="E88" i="4" l="1"/>
  <c r="E87" i="4"/>
  <c r="B87" i="4"/>
  <c r="S45" i="4" l="1"/>
  <c r="F45" i="4"/>
  <c r="D24" i="4"/>
  <c r="G12" i="4"/>
  <c r="G13" i="4" s="1"/>
  <c r="G33" i="4" s="1"/>
  <c r="G34" i="4" l="1"/>
  <c r="G30" i="4"/>
  <c r="G31" i="4"/>
  <c r="G32" i="4"/>
  <c r="S44" i="4" l="1"/>
  <c r="S46" i="4" s="1"/>
  <c r="S38" i="4" a="1"/>
  <c r="S38" i="4" l="1"/>
  <c r="H53" i="4"/>
  <c r="C59" i="4" s="1"/>
  <c r="S47" i="4"/>
  <c r="F56" i="4" l="1"/>
  <c r="G56" i="4" s="1"/>
  <c r="E59" i="4" s="1"/>
  <c r="K88" i="1"/>
  <c r="E70" i="1"/>
  <c r="F33" i="1"/>
  <c r="J22" i="1"/>
  <c r="J23" i="1" s="1"/>
  <c r="F30" i="1" s="1"/>
  <c r="E27" i="4" s="1"/>
  <c r="B33" i="4" l="1"/>
  <c r="B32" i="4"/>
  <c r="B30" i="4"/>
  <c r="B34" i="4"/>
  <c r="B31" i="4"/>
  <c r="E44" i="1"/>
  <c r="E43" i="1"/>
  <c r="E62" i="1" s="1"/>
  <c r="E42" i="1"/>
  <c r="E41" i="1"/>
  <c r="E45" i="1"/>
  <c r="F38" i="4" l="1" a="1"/>
  <c r="B88" i="4" s="1"/>
  <c r="B89" i="4" s="1"/>
  <c r="F44" i="4"/>
  <c r="F46" i="4" s="1"/>
  <c r="I74" i="1" a="1"/>
  <c r="K89" i="1"/>
  <c r="F38" i="4" l="1"/>
  <c r="D53" i="4" s="1"/>
  <c r="C58" i="4" s="1"/>
  <c r="B71" i="4" s="1"/>
  <c r="F47" i="4"/>
  <c r="C56" i="4"/>
  <c r="I74" i="1"/>
  <c r="K91" i="1"/>
  <c r="G91" i="1" s="1"/>
  <c r="I94" i="1" s="1"/>
  <c r="C105" i="1" s="1"/>
  <c r="K90" i="1"/>
  <c r="G88" i="1"/>
  <c r="G94" i="1" s="1"/>
  <c r="B105" i="1" s="1"/>
  <c r="D105" i="1" s="1"/>
  <c r="D56" i="4" l="1"/>
  <c r="E58" i="4" s="1"/>
  <c r="C71" i="4" s="1"/>
  <c r="E71" i="4"/>
  <c r="D71" i="4"/>
  <c r="F71" i="4" l="1"/>
  <c r="F105"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<sst xmlns="http://schemas.openxmlformats.org/spreadsheetml/2006/main" count="209" uniqueCount="145">
  <si>
    <t>Grup pràctiques:</t>
  </si>
  <si>
    <t>Alumnes:</t>
  </si>
  <si>
    <t>1. Descripció de la mostra</t>
  </si>
  <si>
    <t>7. Gotes (o volum) emprat al punt (1) de la pràctica:</t>
  </si>
  <si>
    <t>Absorbància</t>
  </si>
  <si>
    <t>Gotes (o volum) afegit al matràs</t>
  </si>
  <si>
    <t>Volum (mL) dissolució de treball de Fe(II)</t>
  </si>
  <si>
    <t>Parella:</t>
  </si>
  <si>
    <t xml:space="preserve">10. Volum teòric de dissolució que s'ha de pipetejar per tenir una </t>
  </si>
  <si>
    <t>11. Volum real pipetejat:</t>
  </si>
  <si>
    <t xml:space="preserve">absorbància a la part central de la recta: </t>
  </si>
  <si>
    <t>12. Absorbància del blanc de la mostra:</t>
  </si>
  <si>
    <t>13. Absorbància mesurada de la mostra:</t>
  </si>
  <si>
    <t>14. Absorbància corregida de la mostra:</t>
  </si>
  <si>
    <t>9. Exemple del càlcul de la concentració d'un patro de Fe(II):</t>
  </si>
  <si>
    <t>Data:</t>
  </si>
  <si>
    <t>Informe pràctica C1</t>
  </si>
  <si>
    <t>Contingut de Fe al comprimit (mg):</t>
  </si>
  <si>
    <t>Concentració mitjana (mg/mL)</t>
  </si>
  <si>
    <t>Desviació estàndard</t>
  </si>
  <si>
    <t>Desviació estàndard relativa (%)</t>
  </si>
  <si>
    <t>Número de parella</t>
  </si>
  <si>
    <t>2. Massa del comprimit (mg):</t>
  </si>
  <si>
    <t xml:space="preserve">3. Massa pesada de sal de Mohr (g): </t>
  </si>
  <si>
    <t>4. Càlcul de la concentració de la dissolució estoc de Fe(II):</t>
  </si>
  <si>
    <t>5. Concentració dissolució treball Fe(II) (mg/mL):</t>
  </si>
  <si>
    <t>8. Ompliu la taula fent servir fórmules a les caselles a on s'hagin de fer càlculs i no afegint només el resultat (clica sobre el 6 per veure exemple i esborra'l)</t>
  </si>
  <si>
    <t>15. Representeu la recta de calibratge:</t>
  </si>
  <si>
    <t>Interval de confiança</t>
  </si>
  <si>
    <t>16. Concentració de Fe(II) interpolat a la recta de calibratge:</t>
  </si>
  <si>
    <t>IMPORTANT: NO S'AVALUARÀ SI EL RESULTAT TROBAT COINCIDEIX AMB L'ESPERAT, SI NO LA CAPACITAT D'INTERPRETAR</t>
  </si>
  <si>
    <t>ELS RESULTATS I SI AQUEST NO COINCIDEIX AMB L'ESPERAT, LA POSSIBLE CAUSA I SOLUCIÓ.</t>
  </si>
  <si>
    <t>Concentració patró de Fe(II) (mg/mL)</t>
  </si>
  <si>
    <t>6. Concentració de Fe(II) a la dissolució del comprimit (g/mL):</t>
  </si>
  <si>
    <t>17. Desviació estàndard de la concentració calculada:</t>
  </si>
  <si>
    <t>Contingut nominal de Fe a la mostra (indicat a l'etiqueta, considereu aquest valor com el valor real):</t>
  </si>
  <si>
    <t>Existeixen diferències significatives entre la precisió dels dos mètodes?</t>
  </si>
  <si>
    <t>(es considera que els diferents resultats son replicats de mostra)</t>
  </si>
  <si>
    <t xml:space="preserve">19. Compara i comenta els valors del contingut de Ferro trobat amb el nominal. </t>
  </si>
  <si>
    <t>20. Omple la taula afegint el vostre resultat i el de la resta de les parelles que han fet la mateixa pràctica:</t>
  </si>
  <si>
    <t>21. Observacions i comentaris dels resultats del punt 20 (valors anòmals, precisió dels resultats...):</t>
  </si>
  <si>
    <t>senyal AASF</t>
  </si>
  <si>
    <t>Concentració (ppm Fe)</t>
  </si>
  <si>
    <t>4. Concentració de Fe en la mostra:</t>
  </si>
  <si>
    <t xml:space="preserve">7. Comenta els resultats del contingut de ferro trobat pels diferents mètodes amb el contingut indicat a l'etiqueta del producte. </t>
  </si>
  <si>
    <t>IMPORTANT: NO S'AVALUARÀ SI EL RESULTAT TROBAT EN Fe COINCIDEIX AMB L'ESPERAT O NO, SI NO LA CAPACITAT D'INTERPRETAR</t>
  </si>
  <si>
    <t>8. Completa la taula següent (afegiu el vostre resultat i el de la resta de les parelles que han fet la mateixa pràctica):</t>
  </si>
  <si>
    <t>10. Compareu la precisió dels dos mètodes (test F)</t>
  </si>
  <si>
    <t>9. Observacions i comentaris dels resultats de la taula anterior (valors anòmals, precisió dels resultats...):</t>
  </si>
  <si>
    <t>11.  Existeixen diferències significatives entre els resultats obtinguts pels dos mètodes diferents? (test comparació de dades aparellades)</t>
  </si>
  <si>
    <t>12. Quins avantatges i inconvenients representa la determinació de ferro mijançant l'us de UV-Vis davant l'AASF?  (laboriositat, rapidesa, material, manipulació, perillositat...)</t>
  </si>
  <si>
    <t>1. Descripció de l'instrument AASF utilizat</t>
  </si>
  <si>
    <t>Concentració (ppm Mn)</t>
  </si>
  <si>
    <t>3. Representeu les rectes de calibratge pel Fe i pel Mn</t>
  </si>
  <si>
    <t>Concentració de Mn en la mostra:</t>
  </si>
  <si>
    <t>6. Contingut de Fe al comprimit (mg) amb el seu interval de confiança:</t>
  </si>
  <si>
    <t>Contingut de Mn al comprimit (mg) amb el seu interval de confiança:</t>
  </si>
  <si>
    <t>5. Desviació estàndard de la concentració calculada (Fe):</t>
  </si>
  <si>
    <t>Desviació estàndard de la concentració calculada (Mn)</t>
  </si>
  <si>
    <t xml:space="preserve">2. Massa pesada de sal de Mn (g): </t>
  </si>
  <si>
    <t>3. Càlcul de la concentració de la dissolució estoc de Mn(II) i dilucions intermèdies:</t>
  </si>
  <si>
    <t>4. Concentració de Mn(II) a la dissolució del comprimit (g/mL):</t>
  </si>
  <si>
    <t>5. Dades obtingudes del calibratge per patró extern</t>
  </si>
  <si>
    <t>GRUP 2.1 (G3) tarda - 2on torn </t>
  </si>
  <si>
    <t>T_18</t>
  </si>
  <si>
    <t>Sergio Castañeiras Morales i Domènec Huerta Estradé</t>
  </si>
  <si>
    <t>g/comprimit</t>
  </si>
  <si>
    <t>mg</t>
  </si>
  <si>
    <t>Dades</t>
  </si>
  <si>
    <t>PM (sal de Mohr)  (g/mol)</t>
  </si>
  <si>
    <t>PM (sal de Mohr) (g/mol)</t>
  </si>
  <si>
    <t>Resultat amb excel</t>
  </si>
  <si>
    <t>Quantitat de Fe^(2+) (mg)</t>
  </si>
  <si>
    <t>Concentració Fe^(2+) (mg Fe^(2+)/mL)</t>
  </si>
  <si>
    <t>mg/mL</t>
  </si>
  <si>
    <t xml:space="preserve">g/mL </t>
  </si>
  <si>
    <t>Aquest valor s'obté a partir de les dades del contingut vitamínic que apareix a l'envàs</t>
  </si>
  <si>
    <t>Per 10 mL de la dissolució de treball de 0.02 ppm de Fe(II) amb 3 gotes d'acetat de sodi 2M hem arribat a un pH d'aproximadament 4</t>
  </si>
  <si>
    <t>mL</t>
  </si>
  <si>
    <t>Absorbància = m * [Fe (II)] + n</t>
  </si>
  <si>
    <t>m</t>
  </si>
  <si>
    <t>n</t>
  </si>
  <si>
    <t>u_m</t>
  </si>
  <si>
    <t>u_n</t>
  </si>
  <si>
    <t>R^2</t>
  </si>
  <si>
    <t>S_{y/x}</t>
  </si>
  <si>
    <t>F</t>
  </si>
  <si>
    <t>dof</t>
  </si>
  <si>
    <t>Ssreg</t>
  </si>
  <si>
    <t>Ssresid</t>
  </si>
  <si>
    <t>Absorbància_{avg}</t>
  </si>
  <si>
    <t>S_{xx}</t>
  </si>
  <si>
    <t>S_0</t>
  </si>
  <si>
    <t>t_{tab}</t>
  </si>
  <si>
    <t>18. Contingut de Fe(II) al comprimit (mg) amb el seu interval de confiança</t>
  </si>
  <si>
    <t>±</t>
  </si>
  <si>
    <t>mg per comprimit</t>
  </si>
  <si>
    <t>ppm</t>
  </si>
  <si>
    <t>Càlcul amb excel</t>
  </si>
  <si>
    <t>g/mL</t>
  </si>
  <si>
    <t>Aquest és el resultat que obtindriem assumint el valor teòric de l'etiqueta</t>
  </si>
  <si>
    <t>Concentració dissolució de treball Ferro</t>
  </si>
  <si>
    <t>Volum de la solució de treball afegit (mL)</t>
  </si>
  <si>
    <t>Senyal AASF = Concentració Fe(II) * m +n</t>
  </si>
  <si>
    <t>s_{xx}</t>
  </si>
  <si>
    <t>a</t>
  </si>
  <si>
    <t>u_a</t>
  </si>
  <si>
    <t>Senyal AASF_{avg}</t>
  </si>
  <si>
    <t>% RSD</t>
  </si>
  <si>
    <t xml:space="preserve">% RSD </t>
  </si>
  <si>
    <t>Concentració de Fe (II) de la mostra (ppm)</t>
  </si>
  <si>
    <t>Senyal AASF = Concentració Mn(II) * m +n</t>
  </si>
  <si>
    <t>Senyal ASSF de la mostra (Ferro)</t>
  </si>
  <si>
    <t>Concentració de Mn (II) de la mostra (ppm)</t>
  </si>
  <si>
    <t>Senyal ASSF de la mostra (Manganès)</t>
  </si>
  <si>
    <t>Intérval de confiança</t>
  </si>
  <si>
    <t>Concentració de manganès en la primera dissolució</t>
  </si>
  <si>
    <t>Concentració de manganès en la dissolució diluida</t>
  </si>
  <si>
    <t>T_18 (el nostre)</t>
  </si>
  <si>
    <t>M19</t>
  </si>
  <si>
    <t>M20</t>
  </si>
  <si>
    <t>T14</t>
  </si>
  <si>
    <t>T15</t>
  </si>
  <si>
    <t> 0.1</t>
  </si>
  <si>
    <t>T_18 (El nostre)</t>
  </si>
  <si>
    <t xml:space="preserve">F_{exp} </t>
  </si>
  <si>
    <t>S_{y/x} AASF</t>
  </si>
  <si>
    <t>S_{y/x} UV-Vis</t>
  </si>
  <si>
    <t> Valors crítics de F per a nivell de significancia 0.01</t>
  </si>
  <si>
    <t> Valors crítics de F per a nivell de significancia 0.05</t>
  </si>
  <si>
    <r>
      <t>df</t>
    </r>
    <r>
      <rPr>
        <vertAlign val="subscript"/>
        <sz val="11"/>
        <color theme="1"/>
        <rFont val="Arial"/>
        <family val="2"/>
      </rPr>
      <t>1</t>
    </r>
    <r>
      <rPr>
        <sz val="11"/>
        <color theme="1"/>
        <rFont val="Arial"/>
        <family val="2"/>
      </rPr>
      <t>=1</t>
    </r>
  </si>
  <si>
    <r>
      <t>df</t>
    </r>
    <r>
      <rPr>
        <vertAlign val="subscript"/>
        <sz val="11"/>
        <color theme="1"/>
        <rFont val="Arial"/>
        <family val="2"/>
      </rPr>
      <t>2</t>
    </r>
    <r>
      <rPr>
        <sz val="11"/>
        <color theme="1"/>
        <rFont val="Arial"/>
        <family val="2"/>
      </rPr>
      <t>=1</t>
    </r>
  </si>
  <si>
    <t>Valor de F_crítica per nivell de significancia 0.01</t>
  </si>
  <si>
    <t>Valor de F_crítica per nivell de significancia 0.05</t>
  </si>
  <si>
    <t>Dades absorbància UV-Vis Ferro</t>
  </si>
  <si>
    <t>Dades absorbància atòmica Ferro</t>
  </si>
  <si>
    <t>Variacions</t>
  </si>
  <si>
    <t>Q_exp</t>
  </si>
  <si>
    <t>Q_tab</t>
  </si>
  <si>
    <t>Test Q</t>
  </si>
  <si>
    <t>Q_exp (Superior)</t>
  </si>
  <si>
    <t>Q_exp (Inferior)</t>
  </si>
  <si>
    <t>Promig de variacions</t>
  </si>
  <si>
    <t>t_exp</t>
  </si>
  <si>
    <t>t_tab (95% de confiança)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</si>
</sst>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0.00000"/>
    <numFmt numFmtId="167" formatCode="0.0000000"/>
    <numFmt numFmtId="168" formatCode="0.000000"/>
  </numFmts>
  <fonts count="23">
    <font>
      <sz val="11"/>
      <color theme="1"/>
      <name val="Calibri"/>
      <family val="2"/>
      <scheme val="minor"/>
    </font>
    <font>
      <sz val="11"/>
      <color theme="1"/>
      <name val="Arial"/>
      <family val="2"/>
    </font>
    <font>
      <b/>
      <sz val="11"/>
      <color theme="1"/>
      <name val="Arial"/>
      <family val="2"/>
    </font>
    <font>
      <b/>
      <sz val="14"/>
      <color theme="1"/>
      <name val="Arial"/>
      <family val="2"/>
    </font>
    <font>
      <sz val="8"/>
      <name val="Calibri"/>
      <family val="2"/>
      <scheme val="minor"/>
    </font>
    <font>
      <sz val="10"/>
      <color theme="1"/>
      <name val="Calibri"/>
      <family val="2"/>
      <scheme val="minor"/>
    </font>
    <font>
      <b/>
      <sz val="10"/>
      <color theme="1"/>
      <name val="Arial"/>
      <family val="2"/>
    </font>
    <font>
      <b/>
      <i/>
      <sz val="11"/>
      <color theme="1"/>
      <name val="Arial"/>
      <family val="2"/>
    </font>
    <font>
      <sz val="10"/>
      <color theme="1"/>
      <name val="Arial"/>
      <family val="2"/>
    </font>
    <font>
      <b/>
      <sz val="12"/>
      <color theme="1"/>
      <name val="Arial"/>
      <family val="2"/>
    </font>
    <font>
      <sz val="12"/>
      <color theme="1"/>
      <name val="Arial"/>
      <family val="2"/>
    </font>
    <font>
      <sz val="11"/>
      <color rgb="FF000000"/>
      <name val="Calibri"/>
      <family val="2"/>
      <scheme val="minor"/>
    </font>
    <font>
      <sz val="11"/>
      <color rgb="FF000000"/>
      <name val="Arial"/>
      <family val="2"/>
    </font>
    <font>
      <sz val="11"/>
      <color rgb="FF1F1F1F"/>
      <name val="Arial"/>
      <family val="2"/>
    </font>
    <font>
      <b/>
      <sz val="18"/>
      <color rgb="FFFF0000"/>
      <name val="Arial"/>
      <family val="2"/>
    </font>
    <font>
      <sz val="11"/>
      <name val="Arial"/>
      <family val="2"/>
    </font>
    <font>
      <b/>
      <sz val="11"/>
      <name val="Arial"/>
      <family val="2"/>
    </font>
    <font>
      <sz val="11"/>
      <color rgb="FF202122"/>
      <name val="Arial"/>
      <family val="2"/>
    </font>
    <font>
      <sz val="10"/>
      <color rgb="FF000000"/>
      <name val="Calibri"/>
      <family val="2"/>
      <scheme val="minor"/>
    </font>
    <font>
      <b/>
      <sz val="10"/>
      <color theme="1"/>
      <name val="Times"/>
    </font>
    <font>
      <sz val="10"/>
      <color theme="1"/>
      <name val="Times"/>
    </font>
    <font>
      <vertAlign val="subscript"/>
      <sz val="11"/>
      <color theme="1"/>
      <name val="Arial"/>
      <family val="2"/>
    </font>
    <font>
      <i/>
      <sz val="11"/>
      <color theme="1"/>
      <name val="Arial"/>
      <family val="2"/>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86">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horizontal="center"/>
    </xf>
    <xf numFmtId="0" fontId="7" fillId="0" borderId="0" xfId="0" applyFont="1"/>
    <xf numFmtId="0" fontId="8" fillId="0" borderId="1" xfId="0" applyFont="1" applyBorder="1" applyAlignment="1">
      <alignment horizontal="center" vertical="center" wrapText="1"/>
    </xf>
    <xf numFmtId="0" fontId="1" fillId="0" borderId="1" xfId="0" applyFont="1" applyBorder="1" applyAlignment="1">
      <alignment horizontal="center" vertical="center"/>
    </xf>
    <xf numFmtId="0" fontId="9" fillId="0" borderId="0" xfId="0" applyFont="1"/>
    <xf numFmtId="14" fontId="1" fillId="0" borderId="0" xfId="0" applyNumberFormat="1" applyFont="1"/>
    <xf numFmtId="0" fontId="10" fillId="0" borderId="0" xfId="0" applyFont="1"/>
    <xf numFmtId="0" fontId="1" fillId="0" borderId="0" xfId="0" applyFont="1" applyAlignment="1">
      <alignment vertical="center" wrapText="1"/>
    </xf>
    <xf numFmtId="0" fontId="11" fillId="0" borderId="0" xfId="0" applyFont="1"/>
    <xf numFmtId="164" fontId="1" fillId="0" borderId="0" xfId="0" applyNumberFormat="1" applyFont="1"/>
    <xf numFmtId="0" fontId="12" fillId="0" borderId="0" xfId="0" applyFont="1"/>
    <xf numFmtId="165" fontId="1" fillId="0" borderId="0" xfId="0" applyNumberFormat="1" applyFont="1"/>
    <xf numFmtId="166" fontId="1" fillId="0" borderId="0" xfId="0" applyNumberFormat="1" applyFont="1"/>
    <xf numFmtId="165" fontId="0" fillId="0" borderId="0" xfId="0" applyNumberFormat="1" applyAlignment="1">
      <alignment horizontal="center"/>
    </xf>
    <xf numFmtId="164" fontId="5" fillId="0" borderId="1" xfId="0" applyNumberFormat="1" applyFont="1" applyBorder="1" applyAlignment="1">
      <alignment horizontal="center" wrapText="1"/>
    </xf>
    <xf numFmtId="0" fontId="5" fillId="0" borderId="1" xfId="0" applyFont="1" applyBorder="1" applyAlignment="1">
      <alignment horizontal="center" wrapText="1"/>
    </xf>
    <xf numFmtId="167" fontId="5" fillId="0" borderId="1" xfId="0" applyNumberFormat="1" applyFont="1" applyBorder="1" applyAlignment="1">
      <alignment horizontal="center" vertical="center" wrapText="1"/>
    </xf>
    <xf numFmtId="165" fontId="0" fillId="0" borderId="1" xfId="0" applyNumberFormat="1" applyBorder="1" applyAlignment="1">
      <alignment horizontal="center"/>
    </xf>
    <xf numFmtId="168" fontId="5" fillId="0" borderId="1" xfId="0" applyNumberFormat="1" applyFont="1" applyBorder="1" applyAlignment="1">
      <alignment horizontal="center" vertical="center" wrapText="1"/>
    </xf>
    <xf numFmtId="2" fontId="1" fillId="0" borderId="0" xfId="0" applyNumberFormat="1" applyFont="1"/>
    <xf numFmtId="0" fontId="1" fillId="0" borderId="0" xfId="0" applyFont="1" applyAlignment="1">
      <alignment horizontal="right" vertical="top"/>
    </xf>
    <xf numFmtId="0" fontId="0" fillId="0" borderId="1" xfId="0" applyBorder="1" applyAlignment="1">
      <alignment horizontal="right"/>
    </xf>
    <xf numFmtId="1" fontId="0" fillId="0" borderId="1" xfId="0" applyNumberFormat="1" applyBorder="1"/>
    <xf numFmtId="165" fontId="0" fillId="0" borderId="1" xfId="0" applyNumberFormat="1" applyBorder="1"/>
    <xf numFmtId="0" fontId="0" fillId="0" borderId="1" xfId="0" applyBorder="1"/>
    <xf numFmtId="164" fontId="0" fillId="0" borderId="1" xfId="0" applyNumberFormat="1" applyBorder="1"/>
    <xf numFmtId="11" fontId="0" fillId="0" borderId="1" xfId="0" applyNumberFormat="1" applyBorder="1"/>
    <xf numFmtId="0" fontId="1" fillId="0" borderId="1" xfId="0" applyFont="1" applyBorder="1" applyAlignment="1">
      <alignment vertical="center"/>
    </xf>
    <xf numFmtId="165" fontId="1" fillId="0" borderId="1" xfId="0" applyNumberFormat="1" applyFont="1" applyBorder="1"/>
    <xf numFmtId="166" fontId="1" fillId="0" borderId="1" xfId="0" applyNumberFormat="1" applyFont="1" applyBorder="1"/>
    <xf numFmtId="164" fontId="1" fillId="0" borderId="0" xfId="0" applyNumberFormat="1" applyFont="1" applyAlignment="1">
      <alignment horizontal="center" vertical="center"/>
    </xf>
    <xf numFmtId="0" fontId="13" fillId="0" borderId="0" xfId="0" applyFont="1" applyAlignment="1">
      <alignment horizontal="center" vertical="center"/>
    </xf>
    <xf numFmtId="0" fontId="1" fillId="0" borderId="0" xfId="0" applyFont="1" applyAlignment="1">
      <alignment horizontal="center" vertical="center"/>
    </xf>
    <xf numFmtId="0" fontId="6" fillId="0" borderId="1" xfId="0" applyFont="1" applyBorder="1" applyAlignment="1">
      <alignment horizontal="center" vertical="center" wrapText="1"/>
    </xf>
    <xf numFmtId="0" fontId="14" fillId="0" borderId="0" xfId="0" applyFont="1"/>
    <xf numFmtId="164" fontId="1" fillId="0" borderId="1" xfId="0" applyNumberFormat="1" applyFont="1" applyBorder="1" applyAlignment="1">
      <alignment horizontal="center" vertical="center"/>
    </xf>
    <xf numFmtId="0" fontId="10" fillId="0" borderId="0" xfId="0" applyFont="1" applyAlignment="1">
      <alignment horizont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3" xfId="0" applyFont="1" applyBorder="1" applyAlignment="1">
      <alignment horizontal="center" vertical="center"/>
    </xf>
    <xf numFmtId="0" fontId="1" fillId="0" borderId="0" xfId="0" applyFont="1" applyAlignment="1">
      <alignment horizontal="center" vertical="top" wrapText="1"/>
    </xf>
    <xf numFmtId="0" fontId="8" fillId="0" borderId="1" xfId="0" applyFont="1" applyBorder="1" applyAlignment="1">
      <alignment horizontal="center" vertical="center" wrapText="1"/>
    </xf>
    <xf numFmtId="0" fontId="1" fillId="0" borderId="1" xfId="0" applyFont="1" applyBorder="1" applyAlignment="1">
      <alignment horizontal="center"/>
    </xf>
    <xf numFmtId="0" fontId="1" fillId="0" borderId="1" xfId="0" applyFont="1" applyBorder="1"/>
    <xf numFmtId="0" fontId="1" fillId="0" borderId="0" xfId="0" applyFont="1" applyFill="1"/>
    <xf numFmtId="0" fontId="2" fillId="0" borderId="0" xfId="0" applyFont="1" applyAlignment="1">
      <alignment horizontal="center"/>
    </xf>
    <xf numFmtId="2" fontId="1" fillId="0" borderId="1" xfId="0" applyNumberFormat="1" applyFont="1" applyBorder="1" applyAlignment="1">
      <alignment horizontal="center"/>
    </xf>
    <xf numFmtId="0" fontId="1" fillId="0" borderId="1" xfId="0" applyFont="1" applyBorder="1" applyAlignment="1">
      <alignment horizontal="right"/>
    </xf>
    <xf numFmtId="165" fontId="1" fillId="0" borderId="1" xfId="0" applyNumberFormat="1" applyFont="1" applyBorder="1" applyAlignment="1">
      <alignment horizontal="right" vertical="center"/>
    </xf>
    <xf numFmtId="0" fontId="1" fillId="0" borderId="1" xfId="0" applyFont="1" applyBorder="1" applyAlignment="1">
      <alignment horizontal="right" vertical="center"/>
    </xf>
    <xf numFmtId="0" fontId="15" fillId="0" borderId="0" xfId="0" applyFont="1" applyFill="1" applyBorder="1"/>
    <xf numFmtId="0" fontId="16" fillId="0" borderId="0" xfId="0" applyFont="1" applyFill="1" applyBorder="1" applyAlignment="1">
      <alignment horizontal="center" vertical="center"/>
    </xf>
    <xf numFmtId="0" fontId="16" fillId="0" borderId="0" xfId="0" applyFont="1" applyFill="1" applyBorder="1"/>
    <xf numFmtId="164" fontId="15" fillId="0" borderId="0" xfId="0" applyNumberFormat="1" applyFont="1" applyFill="1" applyBorder="1" applyAlignment="1">
      <alignment horizontal="center"/>
    </xf>
    <xf numFmtId="0" fontId="15" fillId="0" borderId="0" xfId="0" applyFont="1" applyFill="1" applyBorder="1" applyAlignment="1">
      <alignment horizontal="center" vertical="center"/>
    </xf>
    <xf numFmtId="164" fontId="15" fillId="0" borderId="0" xfId="0" applyNumberFormat="1" applyFont="1" applyFill="1" applyBorder="1"/>
    <xf numFmtId="2" fontId="1" fillId="0" borderId="1" xfId="0" applyNumberFormat="1" applyFont="1" applyBorder="1" applyAlignment="1"/>
    <xf numFmtId="0" fontId="1" fillId="0" borderId="1" xfId="0" applyFont="1" applyFill="1" applyBorder="1"/>
    <xf numFmtId="0" fontId="15" fillId="0" borderId="1" xfId="0" applyFont="1" applyFill="1" applyBorder="1" applyAlignment="1">
      <alignment horizontal="center" vertical="center"/>
    </xf>
    <xf numFmtId="0" fontId="15" fillId="0" borderId="1" xfId="0" applyFont="1" applyFill="1" applyBorder="1" applyAlignment="1">
      <alignment horizontal="center"/>
    </xf>
    <xf numFmtId="164" fontId="15" fillId="0" borderId="1" xfId="0" applyNumberFormat="1" applyFont="1" applyFill="1" applyBorder="1"/>
    <xf numFmtId="164" fontId="1" fillId="0" borderId="1" xfId="0" applyNumberFormat="1" applyFont="1" applyBorder="1"/>
    <xf numFmtId="2" fontId="1" fillId="0" borderId="1" xfId="0" applyNumberFormat="1" applyFont="1" applyBorder="1"/>
    <xf numFmtId="0" fontId="17" fillId="0" borderId="1" xfId="0" applyFont="1" applyBorder="1" applyAlignment="1">
      <alignment horizontal="center"/>
    </xf>
    <xf numFmtId="164" fontId="1" fillId="0" borderId="1" xfId="0" applyNumberFormat="1" applyFont="1" applyBorder="1" applyAlignment="1">
      <alignment horizontal="left"/>
    </xf>
    <xf numFmtId="164" fontId="8" fillId="0" borderId="1" xfId="0" applyNumberFormat="1" applyFont="1" applyBorder="1" applyAlignment="1">
      <alignment horizontal="center" vertical="center" wrapText="1"/>
    </xf>
    <xf numFmtId="164" fontId="8" fillId="0" borderId="1" xfId="0" applyNumberFormat="1" applyFont="1" applyBorder="1" applyAlignment="1">
      <alignment horizontal="center" vertical="center" wrapText="1"/>
    </xf>
    <xf numFmtId="0" fontId="18" fillId="0" borderId="1" xfId="0" applyFont="1" applyBorder="1" applyAlignment="1">
      <alignment horizontal="center" vertical="center"/>
    </xf>
    <xf numFmtId="164" fontId="18" fillId="0" borderId="1" xfId="0" applyNumberFormat="1" applyFont="1" applyBorder="1" applyAlignment="1">
      <alignment horizontal="center" vertical="center"/>
    </xf>
    <xf numFmtId="2" fontId="1" fillId="0" borderId="1" xfId="0" applyNumberFormat="1" applyFont="1" applyBorder="1" applyAlignment="1">
      <alignment horizontal="center" vertical="center"/>
    </xf>
    <xf numFmtId="164" fontId="15" fillId="0" borderId="1" xfId="0" applyNumberFormat="1" applyFont="1" applyFill="1" applyBorder="1" applyAlignment="1">
      <alignment horizontal="center" vertical="center"/>
    </xf>
    <xf numFmtId="0" fontId="15" fillId="0" borderId="1" xfId="0" applyFont="1" applyFill="1" applyBorder="1" applyAlignment="1">
      <alignment horizontal="center" vertical="center" wrapText="1"/>
    </xf>
    <xf numFmtId="164" fontId="15" fillId="0" borderId="1" xfId="0" applyNumberFormat="1" applyFont="1" applyFill="1" applyBorder="1" applyAlignment="1">
      <alignment horizontal="center" vertical="center" wrapText="1"/>
    </xf>
    <xf numFmtId="164" fontId="15" fillId="0" borderId="5" xfId="0" applyNumberFormat="1" applyFont="1" applyFill="1" applyBorder="1" applyAlignment="1">
      <alignment horizontal="center" vertical="center" wrapText="1"/>
    </xf>
    <xf numFmtId="164" fontId="15" fillId="0" borderId="6" xfId="0" applyNumberFormat="1" applyFont="1" applyFill="1" applyBorder="1" applyAlignment="1">
      <alignment horizontal="center" vertical="center" wrapText="1"/>
    </xf>
    <xf numFmtId="164" fontId="15" fillId="0" borderId="7" xfId="0" applyNumberFormat="1" applyFont="1" applyFill="1" applyBorder="1" applyAlignment="1">
      <alignment horizontal="center" vertical="center" wrapText="1"/>
    </xf>
    <xf numFmtId="165" fontId="1" fillId="0" borderId="1" xfId="0" applyNumberFormat="1" applyFont="1" applyFill="1" applyBorder="1"/>
    <xf numFmtId="164" fontId="1" fillId="0" borderId="1" xfId="0" applyNumberFormat="1" applyFont="1" applyFill="1" applyBorder="1"/>
    <xf numFmtId="0" fontId="19" fillId="0" borderId="0" xfId="0" applyFont="1"/>
    <xf numFmtId="0" fontId="20" fillId="0" borderId="0" xfId="0" applyFont="1"/>
    <xf numFmtId="0" fontId="1" fillId="0" borderId="5" xfId="0" applyFont="1" applyBorder="1"/>
    <xf numFmtId="0" fontId="22"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Calibratge per</a:t>
            </a:r>
            <a:r>
              <a:rPr lang="es-ES_tradnl" baseline="0"/>
              <a:t> patrons externs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1"/>
          <c:order val="0"/>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2.5260913613929539E-2"/>
                  <c:y val="-3.17254870006096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trendlineLbl>
          </c:trendline>
          <c:xVal>
            <c:numRef>
              <c:f>[1]C1!$E$41:$E$45</c:f>
              <c:numCache>
                <c:formatCode>General</c:formatCode>
                <c:ptCount val="5"/>
                <c:pt idx="0">
                  <c:v>8.2028663232519008E-4</c:v>
                </c:pt>
                <c:pt idx="1">
                  <c:v>1.6405732646503802E-3</c:v>
                </c:pt>
                <c:pt idx="2">
                  <c:v>2.4608598969755703E-3</c:v>
                </c:pt>
                <c:pt idx="3">
                  <c:v>3.2811465293007603E-3</c:v>
                </c:pt>
                <c:pt idx="4">
                  <c:v>4.1014331616259503E-3</c:v>
                </c:pt>
              </c:numCache>
            </c:numRef>
          </c:xVal>
          <c:yVal>
            <c:numRef>
              <c:f>[1]C1!$F$41:$F$45</c:f>
              <c:numCache>
                <c:formatCode>General</c:formatCode>
                <c:ptCount val="5"/>
                <c:pt idx="0">
                  <c:v>0.156</c:v>
                </c:pt>
                <c:pt idx="1">
                  <c:v>0.33100000000000002</c:v>
                </c:pt>
                <c:pt idx="2">
                  <c:v>0.496</c:v>
                </c:pt>
                <c:pt idx="3">
                  <c:v>0.67500000000000004</c:v>
                </c:pt>
                <c:pt idx="4">
                  <c:v>0.86799999999999999</c:v>
                </c:pt>
              </c:numCache>
            </c:numRef>
          </c:yVal>
          <c:smooth val="0"/>
          <c:extLst>
            <c:ext xmlns:c16="http://schemas.microsoft.com/office/drawing/2014/chart" uri="{C3380CC4-5D6E-409C-BE32-E72D297353CC}">
              <c16:uniqueId val="{00000001-A75F-804B-A89F-2D60BE971B05}"/>
            </c:ext>
          </c:extLst>
        </c:ser>
        <c:dLbls>
          <c:showLegendKey val="0"/>
          <c:showVal val="0"/>
          <c:showCatName val="0"/>
          <c:showSerName val="0"/>
          <c:showPercent val="0"/>
          <c:showBubbleSize val="0"/>
        </c:dLbls>
        <c:axId val="1625138687"/>
        <c:axId val="1217966191"/>
      </c:scatterChart>
      <c:valAx>
        <c:axId val="1625138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_tradnl"/>
                  <a:t>Concentració patró de Fe (II) [mg/mL]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17966191"/>
        <c:crosses val="autoZero"/>
        <c:crossBetween val="midCat"/>
      </c:valAx>
      <c:valAx>
        <c:axId val="12179661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_tradnl"/>
                  <a:t>Absorbància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62513868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Calibratge</a:t>
            </a:r>
            <a:r>
              <a:rPr lang="en-US" baseline="0"/>
              <a:t> de l'ió Fe(II)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ES"/>
        </a:p>
      </c:txPr>
    </c:title>
    <c:autoTitleDeleted val="0"/>
    <c:plotArea>
      <c:layout/>
      <c:scatterChart>
        <c:scatterStyle val="lineMarker"/>
        <c:varyColors val="0"/>
        <c:ser>
          <c:idx val="0"/>
          <c:order val="0"/>
          <c:tx>
            <c:strRef>
              <c:f>'C2'!$B$29</c:f>
              <c:strCache>
                <c:ptCount val="1"/>
                <c:pt idx="0">
                  <c:v>Concentració (ppm Fe)</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trendlineLbl>
          </c:trendline>
          <c:xVal>
            <c:numRef>
              <c:f>'C2'!$B$30:$B$34</c:f>
              <c:numCache>
                <c:formatCode>0.00</c:formatCode>
                <c:ptCount val="5"/>
                <c:pt idx="0">
                  <c:v>0.82028663232519006</c:v>
                </c:pt>
                <c:pt idx="1">
                  <c:v>1.6405732646503801</c:v>
                </c:pt>
                <c:pt idx="2">
                  <c:v>2.4608598969755699</c:v>
                </c:pt>
                <c:pt idx="3">
                  <c:v>3.2811465293007602</c:v>
                </c:pt>
                <c:pt idx="4">
                  <c:v>4.101433161625951</c:v>
                </c:pt>
              </c:numCache>
            </c:numRef>
          </c:xVal>
          <c:yVal>
            <c:numRef>
              <c:f>'C2'!$C$30:$C$34</c:f>
              <c:numCache>
                <c:formatCode>General</c:formatCode>
                <c:ptCount val="5"/>
                <c:pt idx="0">
                  <c:v>6.7400000000000002E-2</c:v>
                </c:pt>
                <c:pt idx="1">
                  <c:v>0.1212</c:v>
                </c:pt>
                <c:pt idx="2">
                  <c:v>0.1701</c:v>
                </c:pt>
                <c:pt idx="3">
                  <c:v>0.20930000000000001</c:v>
                </c:pt>
                <c:pt idx="4">
                  <c:v>0.25700000000000001</c:v>
                </c:pt>
              </c:numCache>
            </c:numRef>
          </c:yVal>
          <c:smooth val="0"/>
          <c:extLst>
            <c:ext xmlns:c16="http://schemas.microsoft.com/office/drawing/2014/chart" uri="{C3380CC4-5D6E-409C-BE32-E72D297353CC}">
              <c16:uniqueId val="{00000000-3874-F84C-8915-553C7CAFD018}"/>
            </c:ext>
          </c:extLst>
        </c:ser>
        <c:dLbls>
          <c:showLegendKey val="0"/>
          <c:showVal val="0"/>
          <c:showCatName val="0"/>
          <c:showSerName val="0"/>
          <c:showPercent val="0"/>
          <c:showBubbleSize val="0"/>
        </c:dLbls>
        <c:axId val="1376810816"/>
        <c:axId val="1996763680"/>
      </c:scatterChart>
      <c:valAx>
        <c:axId val="13768108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Concentració Fe (II) (ppm)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E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996763680"/>
        <c:crosses val="autoZero"/>
        <c:crossBetween val="midCat"/>
      </c:valAx>
      <c:valAx>
        <c:axId val="19967636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senyal</a:t>
                </a:r>
                <a:r>
                  <a:rPr lang="en-GB" baseline="0"/>
                  <a:t> AASF</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37681081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Calibratge</a:t>
            </a:r>
            <a:r>
              <a:rPr lang="en-US" baseline="0"/>
              <a:t> de l'ió Mn(II)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'C2'!$G$29:$G$29</c:f>
              <c:strCache>
                <c:ptCount val="1"/>
                <c:pt idx="0">
                  <c:v>Concentració (ppm Mn)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trendlineLbl>
          </c:trendline>
          <c:xVal>
            <c:numRef>
              <c:f>'C2'!$G$30:$G$34</c:f>
              <c:numCache>
                <c:formatCode>0.00</c:formatCode>
                <c:ptCount val="5"/>
                <c:pt idx="0">
                  <c:v>0.86590244941427075</c:v>
                </c:pt>
                <c:pt idx="1">
                  <c:v>1.7318048988285415</c:v>
                </c:pt>
                <c:pt idx="2">
                  <c:v>2.5977073482428126</c:v>
                </c:pt>
                <c:pt idx="3">
                  <c:v>3.463609797657083</c:v>
                </c:pt>
                <c:pt idx="4">
                  <c:v>4.329512247071353</c:v>
                </c:pt>
              </c:numCache>
            </c:numRef>
          </c:xVal>
          <c:yVal>
            <c:numRef>
              <c:f>'C2'!$H$30:$H$34</c:f>
              <c:numCache>
                <c:formatCode>General</c:formatCode>
                <c:ptCount val="5"/>
                <c:pt idx="0">
                  <c:v>0.16324</c:v>
                </c:pt>
                <c:pt idx="1">
                  <c:v>0.3206</c:v>
                </c:pt>
                <c:pt idx="2">
                  <c:v>0.46600000000000003</c:v>
                </c:pt>
                <c:pt idx="3">
                  <c:v>0.60580000000000001</c:v>
                </c:pt>
                <c:pt idx="4">
                  <c:v>0.73870000000000002</c:v>
                </c:pt>
              </c:numCache>
            </c:numRef>
          </c:yVal>
          <c:smooth val="0"/>
          <c:extLst>
            <c:ext xmlns:c16="http://schemas.microsoft.com/office/drawing/2014/chart" uri="{C3380CC4-5D6E-409C-BE32-E72D297353CC}">
              <c16:uniqueId val="{00000001-C937-2549-AFD1-777CCE087B67}"/>
            </c:ext>
          </c:extLst>
        </c:ser>
        <c:dLbls>
          <c:showLegendKey val="0"/>
          <c:showVal val="0"/>
          <c:showCatName val="0"/>
          <c:showSerName val="0"/>
          <c:showPercent val="0"/>
          <c:showBubbleSize val="0"/>
        </c:dLbls>
        <c:axId val="1376810816"/>
        <c:axId val="1996763680"/>
      </c:scatterChart>
      <c:valAx>
        <c:axId val="13768108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Concentració Mn (II) (ppm)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E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996763680"/>
        <c:crosses val="autoZero"/>
        <c:crossBetween val="midCat"/>
      </c:valAx>
      <c:valAx>
        <c:axId val="19967636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senyal</a:t>
                </a:r>
                <a:r>
                  <a:rPr lang="en-GB" baseline="0"/>
                  <a:t> AASF</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S"/>
          </a:p>
        </c:txPr>
        <c:crossAx val="137681081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85725</xdr:colOff>
      <xdr:row>47</xdr:row>
      <xdr:rowOff>9525</xdr:rowOff>
    </xdr:from>
    <xdr:to>
      <xdr:col>5</xdr:col>
      <xdr:colOff>819150</xdr:colOff>
      <xdr:row>57</xdr:row>
      <xdr:rowOff>171450</xdr:rowOff>
    </xdr:to>
    <xdr:sp macro="" textlink="">
      <xdr:nvSpPr>
        <xdr:cNvPr id="2" name="CuadroTexto 1">
          <a:extLst>
            <a:ext uri="{FF2B5EF4-FFF2-40B4-BE49-F238E27FC236}">
              <a16:creationId xmlns:a16="http://schemas.microsoft.com/office/drawing/2014/main" id="{AE760F90-9A37-4403-8941-A46B1206963D}"/>
            </a:ext>
          </a:extLst>
        </xdr:cNvPr>
        <xdr:cNvSpPr txBox="1"/>
      </xdr:nvSpPr>
      <xdr:spPr>
        <a:xfrm>
          <a:off x="85725" y="6562725"/>
          <a:ext cx="4171950" cy="2066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ca-ES" sz="1100"/>
        </a:p>
      </xdr:txBody>
    </xdr:sp>
    <xdr:clientData/>
  </xdr:twoCellAnchor>
  <xdr:twoCellAnchor>
    <xdr:from>
      <xdr:col>0</xdr:col>
      <xdr:colOff>162560</xdr:colOff>
      <xdr:row>15</xdr:row>
      <xdr:rowOff>119381</xdr:rowOff>
    </xdr:from>
    <xdr:to>
      <xdr:col>6</xdr:col>
      <xdr:colOff>324255</xdr:colOff>
      <xdr:row>26</xdr:row>
      <xdr:rowOff>23708</xdr:rowOff>
    </xdr:to>
    <mc:AlternateContent xmlns:mc="http://schemas.openxmlformats.org/markup-compatibility/2006" xmlns:a14="http://schemas.microsoft.com/office/drawing/2010/main">
      <mc:Choice Requires="a14">
        <xdr:sp macro="" textlink="">
          <xdr:nvSpPr>
            <xdr:cNvPr id="4" name="CuadroTexto 2">
              <a:extLst>
                <a:ext uri="{FF2B5EF4-FFF2-40B4-BE49-F238E27FC236}">
                  <a16:creationId xmlns:a16="http://schemas.microsoft.com/office/drawing/2014/main" id="{6D390E55-687E-B046-9533-F1E0A77369BE}"/>
                </a:ext>
              </a:extLst>
            </xdr:cNvPr>
            <xdr:cNvSpPr txBox="1"/>
          </xdr:nvSpPr>
          <xdr:spPr>
            <a:xfrm>
              <a:off x="162560" y="3764281"/>
              <a:ext cx="7349895" cy="19998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a-ES" sz="1100">
                  <a:solidFill>
                    <a:sysClr val="windowText" lastClr="000000"/>
                  </a:solidFill>
                </a:rPr>
                <a:t>Dades:</a:t>
              </a:r>
            </a:p>
            <a:p>
              <a:r>
                <a:rPr lang="ca-ES" sz="1100">
                  <a:solidFill>
                    <a:sysClr val="windowText" lastClr="000000"/>
                  </a:solidFill>
                </a:rPr>
                <a:t>	PM (sal de Mohr) = 392.14 g/mol</a:t>
              </a:r>
            </a:p>
            <a:p>
              <a:r>
                <a:rPr lang="ca-ES" sz="1100">
                  <a:solidFill>
                    <a:sysClr val="windowText" lastClr="000000"/>
                  </a:solidFill>
                </a:rPr>
                <a:t>	PA</a:t>
              </a:r>
              <a:r>
                <a:rPr lang="ca-ES" sz="1100" baseline="0">
                  <a:solidFill>
                    <a:sysClr val="windowText" lastClr="000000"/>
                  </a:solidFill>
                </a:rPr>
                <a:t> (Fe) = 55.845 g/ mol</a:t>
              </a:r>
            </a:p>
            <a:p>
              <a:r>
                <a:rPr lang="ca-ES" sz="1100" baseline="0">
                  <a:solidFill>
                    <a:sysClr val="windowText" lastClr="000000"/>
                  </a:solidFill>
                </a:rPr>
                <a:t>Càlcul:</a:t>
              </a:r>
            </a:p>
            <a:p>
              <a:endParaRPr lang="ca-ES" sz="1100" baseline="0">
                <a:solidFill>
                  <a:sysClr val="windowText" lastClr="000000"/>
                </a:solidFill>
              </a:endParaRPr>
            </a:p>
            <a:p>
              <a:pPr/>
              <a14:m>
                <m:oMathPara xmlns:m="http://schemas.openxmlformats.org/officeDocument/2006/math">
                  <m:oMathParaPr>
                    <m:jc m:val="centerGroup"/>
                  </m:oMathParaPr>
                  <m:oMath xmlns:m="http://schemas.openxmlformats.org/officeDocument/2006/math">
                    <m:r>
                      <a:rPr lang="es-ES" sz="1100" b="0" i="1" baseline="0">
                        <a:solidFill>
                          <a:sysClr val="windowText" lastClr="000000"/>
                        </a:solidFill>
                        <a:latin typeface="Cambria Math" panose="02040503050406030204" pitchFamily="18" charset="0"/>
                      </a:rPr>
                      <m:t>144</m:t>
                    </m:r>
                    <m:r>
                      <a:rPr lang="ca-ES" sz="1100" b="0" i="1" baseline="0">
                        <a:solidFill>
                          <a:sysClr val="windowText" lastClr="000000"/>
                        </a:solidFill>
                        <a:latin typeface="Cambria Math" panose="02040503050406030204" pitchFamily="18" charset="0"/>
                      </a:rPr>
                      <m:t> </m:t>
                    </m:r>
                    <m:r>
                      <a:rPr lang="es-ES" sz="1100" b="0" i="1" baseline="0">
                        <a:solidFill>
                          <a:sysClr val="windowText" lastClr="000000"/>
                        </a:solidFill>
                        <a:latin typeface="Cambria Math" panose="02040503050406030204" pitchFamily="18" charset="0"/>
                      </a:rPr>
                      <m:t>𝑚</m:t>
                    </m:r>
                    <m:r>
                      <a:rPr lang="ca-ES" sz="1100" b="0" i="1" baseline="0">
                        <a:solidFill>
                          <a:sysClr val="windowText" lastClr="000000"/>
                        </a:solidFill>
                        <a:latin typeface="Cambria Math" panose="02040503050406030204" pitchFamily="18" charset="0"/>
                      </a:rPr>
                      <m:t>𝑔</m:t>
                    </m:r>
                    <m:r>
                      <a:rPr lang="ca-ES" sz="1100" b="0" i="1" baseline="0">
                        <a:solidFill>
                          <a:sysClr val="windowText" lastClr="000000"/>
                        </a:solidFill>
                        <a:latin typeface="Cambria Math" panose="02040503050406030204" pitchFamily="18" charset="0"/>
                      </a:rPr>
                      <m:t> </m:t>
                    </m:r>
                    <m:r>
                      <a:rPr lang="ca-ES" sz="1100" b="0" i="1" baseline="0">
                        <a:solidFill>
                          <a:sysClr val="windowText" lastClr="000000"/>
                        </a:solidFill>
                        <a:latin typeface="Cambria Math" panose="02040503050406030204" pitchFamily="18" charset="0"/>
                      </a:rPr>
                      <m:t>𝑠𝑎𝑙</m:t>
                    </m:r>
                    <m:r>
                      <a:rPr lang="ca-ES" sz="1100" b="0" i="1" baseline="0">
                        <a:solidFill>
                          <a:sysClr val="windowText" lastClr="000000"/>
                        </a:solidFill>
                        <a:latin typeface="Cambria Math" panose="02040503050406030204" pitchFamily="18" charset="0"/>
                      </a:rPr>
                      <m:t> </m:t>
                    </m:r>
                    <m:r>
                      <a:rPr lang="ca-ES" sz="1100" b="0" i="1" baseline="0">
                        <a:solidFill>
                          <a:sysClr val="windowText" lastClr="000000"/>
                        </a:solidFill>
                        <a:latin typeface="Cambria Math" panose="02040503050406030204" pitchFamily="18" charset="0"/>
                      </a:rPr>
                      <m:t>𝑑𝑒</m:t>
                    </m:r>
                    <m:r>
                      <a:rPr lang="ca-ES" sz="1100" b="0" i="1" baseline="0">
                        <a:solidFill>
                          <a:sysClr val="windowText" lastClr="000000"/>
                        </a:solidFill>
                        <a:latin typeface="Cambria Math" panose="02040503050406030204" pitchFamily="18" charset="0"/>
                      </a:rPr>
                      <m:t> </m:t>
                    </m:r>
                    <m:r>
                      <a:rPr lang="ca-ES" sz="1100" b="0" i="1" baseline="0">
                        <a:solidFill>
                          <a:sysClr val="windowText" lastClr="000000"/>
                        </a:solidFill>
                        <a:latin typeface="Cambria Math" panose="02040503050406030204" pitchFamily="18" charset="0"/>
                      </a:rPr>
                      <m:t>𝑀𝑜h𝑟</m:t>
                    </m:r>
                    <m:r>
                      <a:rPr lang="ca-ES" sz="1100" b="0" i="1" baseline="0">
                        <a:solidFill>
                          <a:sysClr val="windowText" lastClr="000000"/>
                        </a:solidFill>
                        <a:latin typeface="Cambria Math" panose="02040503050406030204" pitchFamily="18" charset="0"/>
                      </a:rPr>
                      <m:t>·</m:t>
                    </m:r>
                    <m:f>
                      <m:fPr>
                        <m:ctrlPr>
                          <a:rPr lang="ca-ES" sz="1100" b="0" i="1" baseline="0">
                            <a:solidFill>
                              <a:sysClr val="windowText" lastClr="000000"/>
                            </a:solidFill>
                            <a:latin typeface="Cambria Math" panose="02040503050406030204" pitchFamily="18" charset="0"/>
                          </a:rPr>
                        </m:ctrlPr>
                      </m:fPr>
                      <m:num>
                        <m:r>
                          <a:rPr lang="ca-ES" sz="1100" b="0" i="1" baseline="0">
                            <a:solidFill>
                              <a:sysClr val="windowText" lastClr="000000"/>
                            </a:solidFill>
                            <a:latin typeface="Cambria Math" panose="02040503050406030204" pitchFamily="18" charset="0"/>
                          </a:rPr>
                          <m:t>1 </m:t>
                        </m:r>
                        <m:r>
                          <a:rPr lang="es-ES" sz="1100" b="0" i="1" baseline="0">
                            <a:solidFill>
                              <a:sysClr val="windowText" lastClr="000000"/>
                            </a:solidFill>
                            <a:latin typeface="Cambria Math" panose="02040503050406030204" pitchFamily="18" charset="0"/>
                          </a:rPr>
                          <m:t>𝑔</m:t>
                        </m:r>
                        <m:r>
                          <a:rPr lang="ca-ES" sz="1100" b="0" i="1" baseline="0">
                            <a:solidFill>
                              <a:sysClr val="windowText" lastClr="000000"/>
                            </a:solidFill>
                            <a:latin typeface="Cambria Math" panose="02040503050406030204" pitchFamily="18" charset="0"/>
                          </a:rPr>
                          <m:t> </m:t>
                        </m:r>
                        <m:r>
                          <a:rPr lang="ca-ES" sz="1100" b="0" i="1" baseline="0">
                            <a:solidFill>
                              <a:sysClr val="windowText" lastClr="000000"/>
                            </a:solidFill>
                            <a:latin typeface="Cambria Math" panose="02040503050406030204" pitchFamily="18" charset="0"/>
                          </a:rPr>
                          <m:t>𝑠𝑎𝑙</m:t>
                        </m:r>
                      </m:num>
                      <m:den>
                        <m:sSup>
                          <m:sSupPr>
                            <m:ctrlPr>
                              <a:rPr lang="ca-ES" sz="1100" b="0" i="1" baseline="0">
                                <a:solidFill>
                                  <a:sysClr val="windowText" lastClr="000000"/>
                                </a:solidFill>
                                <a:latin typeface="Cambria Math" panose="02040503050406030204" pitchFamily="18" charset="0"/>
                              </a:rPr>
                            </m:ctrlPr>
                          </m:sSupPr>
                          <m:e>
                            <m:r>
                              <a:rPr lang="es-ES" sz="1100" b="0" i="1" baseline="0">
                                <a:solidFill>
                                  <a:sysClr val="windowText" lastClr="000000"/>
                                </a:solidFill>
                                <a:latin typeface="Cambria Math" panose="02040503050406030204" pitchFamily="18" charset="0"/>
                              </a:rPr>
                              <m:t>10</m:t>
                            </m:r>
                          </m:e>
                          <m:sup>
                            <m:r>
                              <a:rPr lang="es-ES" sz="1100" b="0" i="1" baseline="0">
                                <a:solidFill>
                                  <a:sysClr val="windowText" lastClr="000000"/>
                                </a:solidFill>
                                <a:latin typeface="Cambria Math" panose="02040503050406030204" pitchFamily="18" charset="0"/>
                              </a:rPr>
                              <m:t>3</m:t>
                            </m:r>
                          </m:sup>
                        </m:sSup>
                        <m:r>
                          <a:rPr lang="ca-ES" sz="1100" b="0" i="1" baseline="0">
                            <a:solidFill>
                              <a:sysClr val="windowText" lastClr="000000"/>
                            </a:solidFill>
                            <a:latin typeface="Cambria Math" panose="02040503050406030204" pitchFamily="18" charset="0"/>
                          </a:rPr>
                          <m:t> </m:t>
                        </m:r>
                        <m:r>
                          <a:rPr lang="es-ES" sz="1100" b="0" i="1" baseline="0">
                            <a:solidFill>
                              <a:sysClr val="windowText" lastClr="000000"/>
                            </a:solidFill>
                            <a:latin typeface="Cambria Math" panose="02040503050406030204" pitchFamily="18" charset="0"/>
                          </a:rPr>
                          <m:t>𝑔</m:t>
                        </m:r>
                        <m:r>
                          <a:rPr lang="ca-ES" sz="1100" b="0" i="1" baseline="0">
                            <a:solidFill>
                              <a:sysClr val="windowText" lastClr="000000"/>
                            </a:solidFill>
                            <a:latin typeface="Cambria Math" panose="02040503050406030204" pitchFamily="18" charset="0"/>
                          </a:rPr>
                          <m:t> </m:t>
                        </m:r>
                        <m:r>
                          <a:rPr lang="ca-ES" sz="1100" b="0" i="1" baseline="0">
                            <a:solidFill>
                              <a:sysClr val="windowText" lastClr="000000"/>
                            </a:solidFill>
                            <a:latin typeface="Cambria Math" panose="02040503050406030204" pitchFamily="18" charset="0"/>
                          </a:rPr>
                          <m:t>𝑠𝑎𝑙</m:t>
                        </m:r>
                      </m:den>
                    </m:f>
                    <m:r>
                      <a:rPr lang="es-ES" sz="1100" b="0" i="1" baseline="0">
                        <a:solidFill>
                          <a:sysClr val="windowText" lastClr="000000"/>
                        </a:solidFill>
                        <a:latin typeface="Cambria Math" panose="02040503050406030204" pitchFamily="18" charset="0"/>
                      </a:rPr>
                      <m:t>·</m:t>
                    </m:r>
                    <m:f>
                      <m:fPr>
                        <m:ctrlPr>
                          <a:rPr lang="ca-ES" sz="1100" b="0" i="1" baseline="0">
                            <a:solidFill>
                              <a:sysClr val="windowText" lastClr="000000"/>
                            </a:solidFill>
                            <a:latin typeface="Cambria Math" panose="02040503050406030204" pitchFamily="18" charset="0"/>
                          </a:rPr>
                        </m:ctrlPr>
                      </m:fPr>
                      <m:num>
                        <m:r>
                          <a:rPr lang="ca-ES" sz="1100" b="0" i="1" baseline="0">
                            <a:solidFill>
                              <a:sysClr val="windowText" lastClr="000000"/>
                            </a:solidFill>
                            <a:latin typeface="Cambria Math" panose="02040503050406030204" pitchFamily="18" charset="0"/>
                          </a:rPr>
                          <m:t>1 </m:t>
                        </m:r>
                        <m:r>
                          <a:rPr lang="ca-ES" sz="1100" b="0" i="1" baseline="0">
                            <a:solidFill>
                              <a:sysClr val="windowText" lastClr="000000"/>
                            </a:solidFill>
                            <a:latin typeface="Cambria Math" panose="02040503050406030204" pitchFamily="18" charset="0"/>
                          </a:rPr>
                          <m:t>𝑚𝑜𝑙</m:t>
                        </m:r>
                        <m:r>
                          <a:rPr lang="ca-ES" sz="1100" b="0" i="1" baseline="0">
                            <a:solidFill>
                              <a:sysClr val="windowText" lastClr="000000"/>
                            </a:solidFill>
                            <a:latin typeface="Cambria Math" panose="02040503050406030204" pitchFamily="18" charset="0"/>
                          </a:rPr>
                          <m:t> </m:t>
                        </m:r>
                        <m:r>
                          <a:rPr lang="ca-ES" sz="1100" b="0" i="1" baseline="0">
                            <a:solidFill>
                              <a:sysClr val="windowText" lastClr="000000"/>
                            </a:solidFill>
                            <a:latin typeface="Cambria Math" panose="02040503050406030204" pitchFamily="18" charset="0"/>
                          </a:rPr>
                          <m:t>𝑠𝑎𝑙</m:t>
                        </m:r>
                      </m:num>
                      <m:den>
                        <m:r>
                          <a:rPr lang="ca-ES" sz="1100" b="0" i="1" baseline="0">
                            <a:solidFill>
                              <a:sysClr val="windowText" lastClr="000000"/>
                            </a:solidFill>
                            <a:latin typeface="Cambria Math" panose="02040503050406030204" pitchFamily="18" charset="0"/>
                          </a:rPr>
                          <m:t>392.14 </m:t>
                        </m:r>
                        <m:r>
                          <a:rPr lang="ca-ES" sz="1100" b="0" i="1" baseline="0">
                            <a:solidFill>
                              <a:sysClr val="windowText" lastClr="000000"/>
                            </a:solidFill>
                            <a:latin typeface="Cambria Math" panose="02040503050406030204" pitchFamily="18" charset="0"/>
                          </a:rPr>
                          <m:t>𝑔</m:t>
                        </m:r>
                        <m:r>
                          <a:rPr lang="ca-ES" sz="1100" b="0" i="1" baseline="0">
                            <a:solidFill>
                              <a:sysClr val="windowText" lastClr="000000"/>
                            </a:solidFill>
                            <a:latin typeface="Cambria Math" panose="02040503050406030204" pitchFamily="18" charset="0"/>
                          </a:rPr>
                          <m:t> </m:t>
                        </m:r>
                        <m:r>
                          <a:rPr lang="ca-ES" sz="1100" b="0" i="1" baseline="0">
                            <a:solidFill>
                              <a:sysClr val="windowText" lastClr="000000"/>
                            </a:solidFill>
                            <a:latin typeface="Cambria Math" panose="02040503050406030204" pitchFamily="18" charset="0"/>
                          </a:rPr>
                          <m:t>𝑠𝑎𝑙</m:t>
                        </m:r>
                      </m:den>
                    </m:f>
                    <m:r>
                      <a:rPr lang="ca-ES" sz="1100" b="0" i="1" baseline="0">
                        <a:solidFill>
                          <a:sysClr val="windowText" lastClr="000000"/>
                        </a:solidFill>
                        <a:latin typeface="Cambria Math" panose="02040503050406030204" pitchFamily="18" charset="0"/>
                      </a:rPr>
                      <m:t>·</m:t>
                    </m:r>
                    <m:f>
                      <m:fPr>
                        <m:ctrlPr>
                          <a:rPr lang="ca-ES" sz="1100" b="0" i="1" baseline="0">
                            <a:solidFill>
                              <a:sysClr val="windowText" lastClr="000000"/>
                            </a:solidFill>
                            <a:latin typeface="Cambria Math" panose="02040503050406030204" pitchFamily="18" charset="0"/>
                          </a:rPr>
                        </m:ctrlPr>
                      </m:fPr>
                      <m:num>
                        <m:r>
                          <a:rPr lang="ca-ES" sz="1100" b="0" i="1" baseline="0">
                            <a:solidFill>
                              <a:sysClr val="windowText" lastClr="000000"/>
                            </a:solidFill>
                            <a:latin typeface="Cambria Math" panose="02040503050406030204" pitchFamily="18" charset="0"/>
                          </a:rPr>
                          <m:t>1 </m:t>
                        </m:r>
                        <m:r>
                          <a:rPr lang="ca-ES" sz="1100" b="0" i="1" baseline="0">
                            <a:solidFill>
                              <a:sysClr val="windowText" lastClr="000000"/>
                            </a:solidFill>
                            <a:latin typeface="Cambria Math" panose="02040503050406030204" pitchFamily="18" charset="0"/>
                          </a:rPr>
                          <m:t>𝑚𝑜𝑙</m:t>
                        </m:r>
                        <m:r>
                          <a:rPr lang="ca-ES" sz="1100" b="0" i="1" baseline="0">
                            <a:solidFill>
                              <a:sysClr val="windowText" lastClr="000000"/>
                            </a:solidFill>
                            <a:latin typeface="Cambria Math" panose="02040503050406030204" pitchFamily="18" charset="0"/>
                          </a:rPr>
                          <m:t> </m:t>
                        </m:r>
                        <m:r>
                          <a:rPr lang="ca-ES" sz="1100" b="0" i="1" baseline="0">
                            <a:solidFill>
                              <a:sysClr val="windowText" lastClr="000000"/>
                            </a:solidFill>
                            <a:latin typeface="Cambria Math" panose="02040503050406030204" pitchFamily="18" charset="0"/>
                          </a:rPr>
                          <m:t>𝐹</m:t>
                        </m:r>
                        <m:sSup>
                          <m:sSupPr>
                            <m:ctrlPr>
                              <a:rPr lang="ca-ES" sz="1100" b="0" i="1" baseline="0">
                                <a:solidFill>
                                  <a:sysClr val="windowText" lastClr="000000"/>
                                </a:solidFill>
                                <a:latin typeface="Cambria Math" panose="02040503050406030204" pitchFamily="18" charset="0"/>
                              </a:rPr>
                            </m:ctrlPr>
                          </m:sSupPr>
                          <m:e>
                            <m:r>
                              <a:rPr lang="ca-ES" sz="1100" b="0" i="1" baseline="0">
                                <a:solidFill>
                                  <a:sysClr val="windowText" lastClr="000000"/>
                                </a:solidFill>
                                <a:latin typeface="Cambria Math" panose="02040503050406030204" pitchFamily="18" charset="0"/>
                              </a:rPr>
                              <m:t>𝑒</m:t>
                            </m:r>
                          </m:e>
                          <m:sup>
                            <m:r>
                              <a:rPr lang="ca-ES" sz="1100" b="0" i="1" baseline="0">
                                <a:solidFill>
                                  <a:sysClr val="windowText" lastClr="000000"/>
                                </a:solidFill>
                                <a:latin typeface="Cambria Math" panose="02040503050406030204" pitchFamily="18" charset="0"/>
                              </a:rPr>
                              <m:t>2+</m:t>
                            </m:r>
                          </m:sup>
                        </m:sSup>
                      </m:num>
                      <m:den>
                        <m:r>
                          <a:rPr lang="ca-ES" sz="1100" b="0" i="1" baseline="0">
                            <a:solidFill>
                              <a:sysClr val="windowText" lastClr="000000"/>
                            </a:solidFill>
                            <a:latin typeface="Cambria Math" panose="02040503050406030204" pitchFamily="18" charset="0"/>
                          </a:rPr>
                          <m:t>1 </m:t>
                        </m:r>
                        <m:r>
                          <a:rPr lang="ca-ES" sz="1100" b="0" i="1" baseline="0">
                            <a:solidFill>
                              <a:sysClr val="windowText" lastClr="000000"/>
                            </a:solidFill>
                            <a:latin typeface="Cambria Math" panose="02040503050406030204" pitchFamily="18" charset="0"/>
                          </a:rPr>
                          <m:t>𝑚𝑜𝑙</m:t>
                        </m:r>
                        <m:r>
                          <a:rPr lang="ca-ES" sz="1100" b="0" i="1" baseline="0">
                            <a:solidFill>
                              <a:sysClr val="windowText" lastClr="000000"/>
                            </a:solidFill>
                            <a:latin typeface="Cambria Math" panose="02040503050406030204" pitchFamily="18" charset="0"/>
                          </a:rPr>
                          <m:t> </m:t>
                        </m:r>
                        <m:r>
                          <a:rPr lang="ca-ES" sz="1100" b="0" i="1" baseline="0">
                            <a:solidFill>
                              <a:sysClr val="windowText" lastClr="000000"/>
                            </a:solidFill>
                            <a:latin typeface="Cambria Math" panose="02040503050406030204" pitchFamily="18" charset="0"/>
                          </a:rPr>
                          <m:t>𝑠𝑎𝑙</m:t>
                        </m:r>
                      </m:den>
                    </m:f>
                    <m:r>
                      <a:rPr lang="ca-ES" sz="1100" b="0" i="1" baseline="0">
                        <a:solidFill>
                          <a:sysClr val="windowText" lastClr="000000"/>
                        </a:solidFill>
                        <a:latin typeface="Cambria Math" panose="02040503050406030204" pitchFamily="18" charset="0"/>
                      </a:rPr>
                      <m:t>·</m:t>
                    </m:r>
                    <m:f>
                      <m:fPr>
                        <m:ctrlPr>
                          <a:rPr lang="ca-ES" sz="1100" b="0" i="1" baseline="0">
                            <a:solidFill>
                              <a:sysClr val="windowText" lastClr="000000"/>
                            </a:solidFill>
                            <a:latin typeface="Cambria Math" panose="02040503050406030204" pitchFamily="18" charset="0"/>
                          </a:rPr>
                        </m:ctrlPr>
                      </m:fPr>
                      <m:num>
                        <m:r>
                          <a:rPr lang="ca-ES" sz="1100" b="0" i="1" baseline="0">
                            <a:solidFill>
                              <a:sysClr val="windowText" lastClr="000000"/>
                            </a:solidFill>
                            <a:latin typeface="Cambria Math" panose="02040503050406030204" pitchFamily="18" charset="0"/>
                          </a:rPr>
                          <m:t>55.845 </m:t>
                        </m:r>
                        <m:r>
                          <a:rPr lang="ca-ES" sz="1100" b="0" i="1" baseline="0">
                            <a:solidFill>
                              <a:sysClr val="windowText" lastClr="000000"/>
                            </a:solidFill>
                            <a:latin typeface="Cambria Math" panose="02040503050406030204" pitchFamily="18" charset="0"/>
                          </a:rPr>
                          <m:t>𝑔</m:t>
                        </m:r>
                        <m:r>
                          <a:rPr lang="ca-ES" sz="1100" b="0" i="1" baseline="0">
                            <a:solidFill>
                              <a:sysClr val="windowText" lastClr="000000"/>
                            </a:solidFill>
                            <a:latin typeface="Cambria Math" panose="02040503050406030204" pitchFamily="18" charset="0"/>
                          </a:rPr>
                          <m:t> </m:t>
                        </m:r>
                        <m:r>
                          <a:rPr lang="ca-ES" sz="1100" b="0" i="1" baseline="0">
                            <a:solidFill>
                              <a:sysClr val="windowText" lastClr="000000"/>
                            </a:solidFill>
                            <a:latin typeface="Cambria Math" panose="02040503050406030204" pitchFamily="18" charset="0"/>
                          </a:rPr>
                          <m:t>𝐹</m:t>
                        </m:r>
                        <m:sSup>
                          <m:sSupPr>
                            <m:ctrlPr>
                              <a:rPr lang="ca-ES" sz="1100" b="0" i="1" baseline="0">
                                <a:solidFill>
                                  <a:sysClr val="windowText" lastClr="000000"/>
                                </a:solidFill>
                                <a:latin typeface="Cambria Math" panose="02040503050406030204" pitchFamily="18" charset="0"/>
                              </a:rPr>
                            </m:ctrlPr>
                          </m:sSupPr>
                          <m:e>
                            <m:r>
                              <a:rPr lang="ca-ES" sz="1100" b="0" i="1" baseline="0">
                                <a:solidFill>
                                  <a:sysClr val="windowText" lastClr="000000"/>
                                </a:solidFill>
                                <a:latin typeface="Cambria Math" panose="02040503050406030204" pitchFamily="18" charset="0"/>
                              </a:rPr>
                              <m:t>𝑒</m:t>
                            </m:r>
                          </m:e>
                          <m:sup>
                            <m:r>
                              <a:rPr lang="ca-ES" sz="1100" b="0" i="1" baseline="0">
                                <a:solidFill>
                                  <a:sysClr val="windowText" lastClr="000000"/>
                                </a:solidFill>
                                <a:latin typeface="Cambria Math" panose="02040503050406030204" pitchFamily="18" charset="0"/>
                              </a:rPr>
                              <m:t>2+</m:t>
                            </m:r>
                          </m:sup>
                        </m:sSup>
                      </m:num>
                      <m:den>
                        <m:r>
                          <a:rPr lang="ca-ES" sz="1100" b="0" i="1" baseline="0">
                            <a:solidFill>
                              <a:sysClr val="windowText" lastClr="000000"/>
                            </a:solidFill>
                            <a:latin typeface="Cambria Math" panose="02040503050406030204" pitchFamily="18" charset="0"/>
                          </a:rPr>
                          <m:t>1 </m:t>
                        </m:r>
                        <m:r>
                          <a:rPr lang="ca-ES" sz="1100" b="0" i="1" baseline="0">
                            <a:solidFill>
                              <a:sysClr val="windowText" lastClr="000000"/>
                            </a:solidFill>
                            <a:latin typeface="Cambria Math" panose="02040503050406030204" pitchFamily="18" charset="0"/>
                          </a:rPr>
                          <m:t>𝑚𝑜𝑙</m:t>
                        </m:r>
                        <m:r>
                          <a:rPr lang="ca-ES" sz="1100" b="0" i="1" baseline="0">
                            <a:solidFill>
                              <a:sysClr val="windowText" lastClr="000000"/>
                            </a:solidFill>
                            <a:latin typeface="Cambria Math" panose="02040503050406030204" pitchFamily="18" charset="0"/>
                          </a:rPr>
                          <m:t> </m:t>
                        </m:r>
                        <m:r>
                          <a:rPr lang="ca-ES" sz="1100" b="0" i="1" baseline="0">
                            <a:solidFill>
                              <a:sysClr val="windowText" lastClr="000000"/>
                            </a:solidFill>
                            <a:latin typeface="Cambria Math" panose="02040503050406030204" pitchFamily="18" charset="0"/>
                          </a:rPr>
                          <m:t>𝐹</m:t>
                        </m:r>
                        <m:sSup>
                          <m:sSupPr>
                            <m:ctrlPr>
                              <a:rPr lang="ca-ES" sz="1100" b="0" i="1" baseline="0">
                                <a:solidFill>
                                  <a:sysClr val="windowText" lastClr="000000"/>
                                </a:solidFill>
                                <a:latin typeface="Cambria Math" panose="02040503050406030204" pitchFamily="18" charset="0"/>
                              </a:rPr>
                            </m:ctrlPr>
                          </m:sSupPr>
                          <m:e>
                            <m:r>
                              <a:rPr lang="ca-ES" sz="1100" b="0" i="1" baseline="0">
                                <a:solidFill>
                                  <a:sysClr val="windowText" lastClr="000000"/>
                                </a:solidFill>
                                <a:latin typeface="Cambria Math" panose="02040503050406030204" pitchFamily="18" charset="0"/>
                              </a:rPr>
                              <m:t>𝑒</m:t>
                            </m:r>
                          </m:e>
                          <m:sup>
                            <m:r>
                              <a:rPr lang="ca-ES" sz="1100" b="0" i="1" baseline="0">
                                <a:solidFill>
                                  <a:sysClr val="windowText" lastClr="000000"/>
                                </a:solidFill>
                                <a:latin typeface="Cambria Math" panose="02040503050406030204" pitchFamily="18" charset="0"/>
                              </a:rPr>
                              <m:t>2+</m:t>
                            </m:r>
                          </m:sup>
                        </m:sSup>
                        <m:r>
                          <a:rPr lang="ca-ES" sz="1100" b="0" i="1" baseline="0">
                            <a:solidFill>
                              <a:sysClr val="windowText" lastClr="000000"/>
                            </a:solidFill>
                            <a:latin typeface="Cambria Math" panose="02040503050406030204" pitchFamily="18" charset="0"/>
                          </a:rPr>
                          <m:t> </m:t>
                        </m:r>
                      </m:den>
                    </m:f>
                    <m:r>
                      <a:rPr lang="es-ES" sz="1100" b="0" i="1" baseline="0">
                        <a:solidFill>
                          <a:sysClr val="windowText" lastClr="000000"/>
                        </a:solidFill>
                        <a:latin typeface="Cambria Math" panose="02040503050406030204" pitchFamily="18" charset="0"/>
                      </a:rPr>
                      <m:t>·</m:t>
                    </m:r>
                    <m:f>
                      <m:fPr>
                        <m:ctrlPr>
                          <a:rPr lang="ca-ES" sz="1100" b="0" i="1" baseline="0">
                            <a:solidFill>
                              <a:sysClr val="windowText" lastClr="000000"/>
                            </a:solidFill>
                            <a:latin typeface="Cambria Math" panose="02040503050406030204" pitchFamily="18" charset="0"/>
                          </a:rPr>
                        </m:ctrlPr>
                      </m:fPr>
                      <m:num>
                        <m:sSup>
                          <m:sSupPr>
                            <m:ctrlPr>
                              <a:rPr lang="ca-ES" sz="1100" b="0" i="1" baseline="0">
                                <a:solidFill>
                                  <a:sysClr val="windowText" lastClr="000000"/>
                                </a:solidFill>
                                <a:latin typeface="Cambria Math" panose="02040503050406030204" pitchFamily="18" charset="0"/>
                              </a:rPr>
                            </m:ctrlPr>
                          </m:sSupPr>
                          <m:e>
                            <m:r>
                              <a:rPr lang="es-ES" sz="1100" b="0" i="1" baseline="0">
                                <a:solidFill>
                                  <a:sysClr val="windowText" lastClr="000000"/>
                                </a:solidFill>
                                <a:latin typeface="Cambria Math" panose="02040503050406030204" pitchFamily="18" charset="0"/>
                              </a:rPr>
                              <m:t>10</m:t>
                            </m:r>
                          </m:e>
                          <m:sup>
                            <m:r>
                              <a:rPr lang="es-ES" sz="1100" b="0" i="1" baseline="0">
                                <a:solidFill>
                                  <a:sysClr val="windowText" lastClr="000000"/>
                                </a:solidFill>
                                <a:latin typeface="Cambria Math" panose="02040503050406030204" pitchFamily="18" charset="0"/>
                              </a:rPr>
                              <m:t>3</m:t>
                            </m:r>
                          </m:sup>
                        </m:sSup>
                        <m:r>
                          <a:rPr lang="ca-ES" sz="1100" b="0" i="1" baseline="0">
                            <a:solidFill>
                              <a:sysClr val="windowText" lastClr="000000"/>
                            </a:solidFill>
                            <a:latin typeface="Cambria Math" panose="02040503050406030204" pitchFamily="18" charset="0"/>
                          </a:rPr>
                          <m:t> </m:t>
                        </m:r>
                        <m:r>
                          <a:rPr lang="es-ES" sz="1100" b="0" i="1" baseline="0">
                            <a:solidFill>
                              <a:sysClr val="windowText" lastClr="000000"/>
                            </a:solidFill>
                            <a:latin typeface="Cambria Math" panose="02040503050406030204" pitchFamily="18" charset="0"/>
                          </a:rPr>
                          <m:t>𝑚𝑔</m:t>
                        </m:r>
                        <m:r>
                          <a:rPr lang="ca-ES" sz="1100" b="0" i="1" baseline="0">
                            <a:solidFill>
                              <a:sysClr val="windowText" lastClr="000000"/>
                            </a:solidFill>
                            <a:latin typeface="Cambria Math" panose="02040503050406030204" pitchFamily="18" charset="0"/>
                          </a:rPr>
                          <m:t> </m:t>
                        </m:r>
                        <m:r>
                          <a:rPr lang="ca-ES" sz="1100" b="0" i="1" baseline="0">
                            <a:solidFill>
                              <a:sysClr val="windowText" lastClr="000000"/>
                            </a:solidFill>
                            <a:latin typeface="Cambria Math" panose="02040503050406030204" pitchFamily="18" charset="0"/>
                          </a:rPr>
                          <m:t>𝐹</m:t>
                        </m:r>
                        <m:sSup>
                          <m:sSupPr>
                            <m:ctrlPr>
                              <a:rPr lang="ca-ES" sz="1100" b="0" i="1" baseline="0">
                                <a:solidFill>
                                  <a:sysClr val="windowText" lastClr="000000"/>
                                </a:solidFill>
                                <a:latin typeface="Cambria Math" panose="02040503050406030204" pitchFamily="18" charset="0"/>
                              </a:rPr>
                            </m:ctrlPr>
                          </m:sSupPr>
                          <m:e>
                            <m:r>
                              <a:rPr lang="ca-ES" sz="1100" b="0" i="1" baseline="0">
                                <a:solidFill>
                                  <a:sysClr val="windowText" lastClr="000000"/>
                                </a:solidFill>
                                <a:latin typeface="Cambria Math" panose="02040503050406030204" pitchFamily="18" charset="0"/>
                              </a:rPr>
                              <m:t>𝑒</m:t>
                            </m:r>
                          </m:e>
                          <m:sup>
                            <m:r>
                              <a:rPr lang="ca-ES" sz="1100" b="0" i="1" baseline="0">
                                <a:solidFill>
                                  <a:sysClr val="windowText" lastClr="000000"/>
                                </a:solidFill>
                                <a:latin typeface="Cambria Math" panose="02040503050406030204" pitchFamily="18" charset="0"/>
                              </a:rPr>
                              <m:t>2+</m:t>
                            </m:r>
                          </m:sup>
                        </m:sSup>
                      </m:num>
                      <m:den>
                        <m:r>
                          <a:rPr lang="ca-ES" sz="1100" b="0" i="1" baseline="0">
                            <a:solidFill>
                              <a:sysClr val="windowText" lastClr="000000"/>
                            </a:solidFill>
                            <a:latin typeface="Cambria Math" panose="02040503050406030204" pitchFamily="18" charset="0"/>
                          </a:rPr>
                          <m:t> </m:t>
                        </m:r>
                        <m:r>
                          <a:rPr lang="es-ES" sz="1100" b="0" i="1" baseline="0">
                            <a:solidFill>
                              <a:sysClr val="windowText" lastClr="000000"/>
                            </a:solidFill>
                            <a:latin typeface="Cambria Math" panose="02040503050406030204" pitchFamily="18" charset="0"/>
                          </a:rPr>
                          <m:t>1</m:t>
                        </m:r>
                        <m:r>
                          <a:rPr lang="ca-ES" sz="1100" b="0" i="1" baseline="0">
                            <a:solidFill>
                              <a:sysClr val="windowText" lastClr="000000"/>
                            </a:solidFill>
                            <a:latin typeface="Cambria Math" panose="02040503050406030204" pitchFamily="18" charset="0"/>
                          </a:rPr>
                          <m:t> </m:t>
                        </m:r>
                        <m:r>
                          <a:rPr lang="es-ES" sz="1100" b="0" i="1" baseline="0">
                            <a:solidFill>
                              <a:sysClr val="windowText" lastClr="000000"/>
                            </a:solidFill>
                            <a:latin typeface="Cambria Math" panose="02040503050406030204" pitchFamily="18" charset="0"/>
                          </a:rPr>
                          <m:t>𝑔</m:t>
                        </m:r>
                        <m:r>
                          <a:rPr lang="ca-ES" sz="1100" b="0" i="1" baseline="0">
                            <a:solidFill>
                              <a:sysClr val="windowText" lastClr="000000"/>
                            </a:solidFill>
                            <a:latin typeface="Cambria Math" panose="02040503050406030204" pitchFamily="18" charset="0"/>
                          </a:rPr>
                          <m:t> </m:t>
                        </m:r>
                        <m:r>
                          <a:rPr lang="ca-ES" sz="1100" b="0" i="1" baseline="0">
                            <a:solidFill>
                              <a:sysClr val="windowText" lastClr="000000"/>
                            </a:solidFill>
                            <a:latin typeface="Cambria Math" panose="02040503050406030204" pitchFamily="18" charset="0"/>
                          </a:rPr>
                          <m:t>𝐹</m:t>
                        </m:r>
                        <m:sSup>
                          <m:sSupPr>
                            <m:ctrlPr>
                              <a:rPr lang="ca-ES" sz="1100" b="0" i="1" baseline="0">
                                <a:solidFill>
                                  <a:sysClr val="windowText" lastClr="000000"/>
                                </a:solidFill>
                                <a:latin typeface="Cambria Math" panose="02040503050406030204" pitchFamily="18" charset="0"/>
                              </a:rPr>
                            </m:ctrlPr>
                          </m:sSupPr>
                          <m:e>
                            <m:r>
                              <a:rPr lang="ca-ES" sz="1100" b="0" i="1" baseline="0">
                                <a:solidFill>
                                  <a:sysClr val="windowText" lastClr="000000"/>
                                </a:solidFill>
                                <a:latin typeface="Cambria Math" panose="02040503050406030204" pitchFamily="18" charset="0"/>
                              </a:rPr>
                              <m:t>𝑒</m:t>
                            </m:r>
                          </m:e>
                          <m:sup>
                            <m:r>
                              <a:rPr lang="ca-ES" sz="1100" b="0" i="1" baseline="0">
                                <a:solidFill>
                                  <a:sysClr val="windowText" lastClr="000000"/>
                                </a:solidFill>
                                <a:latin typeface="Cambria Math" panose="02040503050406030204" pitchFamily="18" charset="0"/>
                              </a:rPr>
                              <m:t>2+</m:t>
                            </m:r>
                          </m:sup>
                        </m:sSup>
                      </m:den>
                    </m:f>
                    <m:r>
                      <a:rPr lang="es-ES" sz="1100" b="0" i="1" baseline="0">
                        <a:solidFill>
                          <a:sysClr val="windowText" lastClr="000000"/>
                        </a:solidFill>
                        <a:latin typeface="Cambria Math" panose="02040503050406030204" pitchFamily="18" charset="0"/>
                      </a:rPr>
                      <m:t>=20.5</m:t>
                    </m:r>
                    <m:r>
                      <a:rPr lang="ca-ES" sz="1100" b="0" i="1" baseline="0">
                        <a:solidFill>
                          <a:sysClr val="windowText" lastClr="000000"/>
                        </a:solidFill>
                        <a:latin typeface="Cambria Math" panose="02040503050406030204" pitchFamily="18" charset="0"/>
                      </a:rPr>
                      <m:t> </m:t>
                    </m:r>
                    <m:r>
                      <a:rPr lang="ca-ES" sz="1100" b="0" i="1" baseline="0">
                        <a:solidFill>
                          <a:sysClr val="windowText" lastClr="000000"/>
                        </a:solidFill>
                        <a:latin typeface="Cambria Math" panose="02040503050406030204" pitchFamily="18" charset="0"/>
                      </a:rPr>
                      <m:t>𝑚𝑔</m:t>
                    </m:r>
                    <m:r>
                      <a:rPr lang="es-ES" sz="1100" b="0" i="1" baseline="0">
                        <a:solidFill>
                          <a:sysClr val="windowText" lastClr="000000"/>
                        </a:solidFill>
                        <a:latin typeface="Cambria Math" panose="02040503050406030204" pitchFamily="18" charset="0"/>
                      </a:rPr>
                      <m:t> </m:t>
                    </m:r>
                    <m:r>
                      <a:rPr lang="es-ES" sz="1100" b="0" i="1" baseline="0">
                        <a:solidFill>
                          <a:sysClr val="windowText" lastClr="000000"/>
                        </a:solidFill>
                        <a:latin typeface="Cambria Math" panose="02040503050406030204" pitchFamily="18" charset="0"/>
                      </a:rPr>
                      <m:t>𝐹</m:t>
                    </m:r>
                    <m:sSup>
                      <m:sSupPr>
                        <m:ctrlPr>
                          <a:rPr lang="es-ES" sz="1100" b="0" i="1" baseline="0">
                            <a:solidFill>
                              <a:sysClr val="windowText" lastClr="000000"/>
                            </a:solidFill>
                            <a:latin typeface="Cambria Math" panose="02040503050406030204" pitchFamily="18" charset="0"/>
                          </a:rPr>
                        </m:ctrlPr>
                      </m:sSupPr>
                      <m:e>
                        <m:r>
                          <a:rPr lang="es-ES" sz="1100" b="0" i="1" baseline="0">
                            <a:solidFill>
                              <a:sysClr val="windowText" lastClr="000000"/>
                            </a:solidFill>
                            <a:latin typeface="Cambria Math" panose="02040503050406030204" pitchFamily="18" charset="0"/>
                          </a:rPr>
                          <m:t>𝑒</m:t>
                        </m:r>
                      </m:e>
                      <m:sup>
                        <m:r>
                          <a:rPr lang="es-ES" sz="1100" b="0" i="1" baseline="0">
                            <a:solidFill>
                              <a:sysClr val="windowText" lastClr="000000"/>
                            </a:solidFill>
                            <a:latin typeface="Cambria Math" panose="02040503050406030204" pitchFamily="18" charset="0"/>
                          </a:rPr>
                          <m:t>2+</m:t>
                        </m:r>
                      </m:sup>
                    </m:sSup>
                  </m:oMath>
                </m:oMathPara>
              </a14:m>
              <a:endParaRPr lang="ca-ES" sz="1100" baseline="0">
                <a:solidFill>
                  <a:sysClr val="windowText" lastClr="000000"/>
                </a:solidFill>
              </a:endParaRPr>
            </a:p>
            <a:p>
              <a:endParaRPr lang="es-ES" sz="1100" b="0" i="1" baseline="0">
                <a:solidFill>
                  <a:sysClr val="windowText" lastClr="000000"/>
                </a:solidFill>
                <a:latin typeface="Cambria Math" panose="02040503050406030204" pitchFamily="18" charset="0"/>
              </a:endParaRPr>
            </a:p>
            <a:p>
              <a:pPr/>
              <a14:m>
                <m:oMathPara xmlns:m="http://schemas.openxmlformats.org/officeDocument/2006/math">
                  <m:oMathParaPr>
                    <m:jc m:val="centerGroup"/>
                  </m:oMathParaPr>
                  <m:oMath xmlns:m="http://schemas.openxmlformats.org/officeDocument/2006/math">
                    <m:f>
                      <m:fPr>
                        <m:ctrlPr>
                          <a:rPr lang="es-ES" sz="1100" b="0" i="1" baseline="0">
                            <a:solidFill>
                              <a:sysClr val="windowText" lastClr="000000"/>
                            </a:solidFill>
                            <a:latin typeface="Cambria Math" panose="02040503050406030204" pitchFamily="18" charset="0"/>
                          </a:rPr>
                        </m:ctrlPr>
                      </m:fPr>
                      <m:num>
                        <m:r>
                          <a:rPr lang="es-ES" sz="1100" b="0" i="1" baseline="0">
                            <a:solidFill>
                              <a:sysClr val="windowText" lastClr="000000"/>
                            </a:solidFill>
                            <a:latin typeface="Cambria Math" panose="02040503050406030204" pitchFamily="18" charset="0"/>
                          </a:rPr>
                          <m:t> 20.5</m:t>
                        </m:r>
                        <m:r>
                          <a:rPr lang="es-ES" sz="1100" b="0" i="1" baseline="0">
                            <a:solidFill>
                              <a:sysClr val="windowText" lastClr="000000"/>
                            </a:solidFill>
                            <a:effectLst/>
                            <a:latin typeface="Cambria Math" panose="02040503050406030204" pitchFamily="18" charset="0"/>
                            <a:ea typeface="+mn-ea"/>
                            <a:cs typeface="+mn-cs"/>
                          </a:rPr>
                          <m:t>𝑚𝑔</m:t>
                        </m:r>
                        <m:r>
                          <a:rPr lang="es-ES" sz="1100" b="0" i="1" baseline="0">
                            <a:solidFill>
                              <a:sysClr val="windowText" lastClr="000000"/>
                            </a:solidFill>
                            <a:effectLst/>
                            <a:latin typeface="Cambria Math" panose="02040503050406030204" pitchFamily="18" charset="0"/>
                            <a:ea typeface="+mn-ea"/>
                            <a:cs typeface="+mn-cs"/>
                          </a:rPr>
                          <m:t> </m:t>
                        </m:r>
                        <m:r>
                          <a:rPr lang="es-ES" sz="1100" b="0" i="1" baseline="0">
                            <a:solidFill>
                              <a:sysClr val="windowText" lastClr="000000"/>
                            </a:solidFill>
                            <a:latin typeface="Cambria Math" panose="02040503050406030204" pitchFamily="18" charset="0"/>
                          </a:rPr>
                          <m:t>𝐹</m:t>
                        </m:r>
                        <m:sSup>
                          <m:sSupPr>
                            <m:ctrlPr>
                              <a:rPr lang="es-ES" sz="1100" b="0" i="1" baseline="0">
                                <a:solidFill>
                                  <a:sysClr val="windowText" lastClr="000000"/>
                                </a:solidFill>
                                <a:latin typeface="Cambria Math" panose="02040503050406030204" pitchFamily="18" charset="0"/>
                              </a:rPr>
                            </m:ctrlPr>
                          </m:sSupPr>
                          <m:e>
                            <m:r>
                              <a:rPr lang="es-ES" sz="1100" b="0" i="1" baseline="0">
                                <a:solidFill>
                                  <a:sysClr val="windowText" lastClr="000000"/>
                                </a:solidFill>
                                <a:latin typeface="Cambria Math" panose="02040503050406030204" pitchFamily="18" charset="0"/>
                              </a:rPr>
                              <m:t>𝑒</m:t>
                            </m:r>
                          </m:e>
                          <m:sup>
                            <m:r>
                              <a:rPr lang="es-ES" sz="1100" b="0" i="1" baseline="0">
                                <a:solidFill>
                                  <a:sysClr val="windowText" lastClr="000000"/>
                                </a:solidFill>
                                <a:latin typeface="Cambria Math" panose="02040503050406030204" pitchFamily="18" charset="0"/>
                              </a:rPr>
                              <m:t>2+</m:t>
                            </m:r>
                          </m:sup>
                        </m:sSup>
                      </m:num>
                      <m:den>
                        <m:r>
                          <a:rPr lang="es-ES" sz="1100" b="0" i="1" baseline="0">
                            <a:solidFill>
                              <a:sysClr val="windowText" lastClr="000000"/>
                            </a:solidFill>
                            <a:latin typeface="Cambria Math" panose="02040503050406030204" pitchFamily="18" charset="0"/>
                          </a:rPr>
                          <m:t>500.0 </m:t>
                        </m:r>
                        <m:r>
                          <a:rPr lang="es-ES" sz="1100" b="0" i="1" baseline="0">
                            <a:solidFill>
                              <a:sysClr val="windowText" lastClr="000000"/>
                            </a:solidFill>
                            <a:latin typeface="Cambria Math" panose="02040503050406030204" pitchFamily="18" charset="0"/>
                          </a:rPr>
                          <m:t>𝑚𝐿</m:t>
                        </m:r>
                      </m:den>
                    </m:f>
                    <m:r>
                      <a:rPr lang="es-ES" sz="1100" b="0" i="1" baseline="0">
                        <a:solidFill>
                          <a:sysClr val="windowText" lastClr="000000"/>
                        </a:solidFill>
                        <a:latin typeface="Cambria Math" panose="02040503050406030204" pitchFamily="18" charset="0"/>
                      </a:rPr>
                      <m:t>=0.041</m:t>
                    </m:r>
                    <m:f>
                      <m:fPr>
                        <m:ctrlPr>
                          <a:rPr lang="es-ES" sz="1100" b="0" i="1" baseline="0">
                            <a:solidFill>
                              <a:sysClr val="windowText" lastClr="000000"/>
                            </a:solidFill>
                            <a:latin typeface="Cambria Math" panose="02040503050406030204" pitchFamily="18" charset="0"/>
                          </a:rPr>
                        </m:ctrlPr>
                      </m:fPr>
                      <m:num>
                        <m:r>
                          <a:rPr lang="es-ES" sz="1100" b="0" i="1" baseline="0">
                            <a:solidFill>
                              <a:sysClr val="windowText" lastClr="000000"/>
                            </a:solidFill>
                            <a:latin typeface="Cambria Math" panose="02040503050406030204" pitchFamily="18" charset="0"/>
                          </a:rPr>
                          <m:t> </m:t>
                        </m:r>
                        <m:r>
                          <a:rPr lang="es-ES" sz="1100" b="0" i="1" baseline="0">
                            <a:solidFill>
                              <a:sysClr val="windowText" lastClr="000000"/>
                            </a:solidFill>
                            <a:effectLst/>
                            <a:latin typeface="Cambria Math" panose="02040503050406030204" pitchFamily="18" charset="0"/>
                            <a:ea typeface="+mn-ea"/>
                            <a:cs typeface="+mn-cs"/>
                          </a:rPr>
                          <m:t> </m:t>
                        </m:r>
                        <m:r>
                          <a:rPr lang="es-ES" sz="1100" b="0" i="1" baseline="0">
                            <a:solidFill>
                              <a:sysClr val="windowText" lastClr="000000"/>
                            </a:solidFill>
                            <a:latin typeface="Cambria Math" panose="02040503050406030204" pitchFamily="18" charset="0"/>
                          </a:rPr>
                          <m:t>𝐹</m:t>
                        </m:r>
                        <m:sSup>
                          <m:sSupPr>
                            <m:ctrlPr>
                              <a:rPr lang="es-ES" sz="1100" b="0" i="1" baseline="0">
                                <a:solidFill>
                                  <a:sysClr val="windowText" lastClr="000000"/>
                                </a:solidFill>
                                <a:latin typeface="Cambria Math" panose="02040503050406030204" pitchFamily="18" charset="0"/>
                              </a:rPr>
                            </m:ctrlPr>
                          </m:sSupPr>
                          <m:e>
                            <m:r>
                              <a:rPr lang="es-ES" sz="1100" b="0" i="1" baseline="0">
                                <a:solidFill>
                                  <a:sysClr val="windowText" lastClr="000000"/>
                                </a:solidFill>
                                <a:latin typeface="Cambria Math" panose="02040503050406030204" pitchFamily="18" charset="0"/>
                              </a:rPr>
                              <m:t>𝑒</m:t>
                            </m:r>
                          </m:e>
                          <m:sup>
                            <m:r>
                              <a:rPr lang="es-ES" sz="1100" b="0" i="1" baseline="0">
                                <a:solidFill>
                                  <a:sysClr val="windowText" lastClr="000000"/>
                                </a:solidFill>
                                <a:latin typeface="Cambria Math" panose="02040503050406030204" pitchFamily="18" charset="0"/>
                              </a:rPr>
                              <m:t>2+</m:t>
                            </m:r>
                          </m:sup>
                        </m:sSup>
                      </m:num>
                      <m:den>
                        <m:r>
                          <a:rPr lang="es-ES" sz="1100" b="0" i="1" baseline="0">
                            <a:solidFill>
                              <a:sysClr val="windowText" lastClr="000000"/>
                            </a:solidFill>
                            <a:latin typeface="Cambria Math" panose="02040503050406030204" pitchFamily="18" charset="0"/>
                          </a:rPr>
                          <m:t> </m:t>
                        </m:r>
                        <m:r>
                          <a:rPr lang="es-ES" sz="1100" b="0" i="1" baseline="0">
                            <a:solidFill>
                              <a:sysClr val="windowText" lastClr="000000"/>
                            </a:solidFill>
                            <a:latin typeface="Cambria Math" panose="02040503050406030204" pitchFamily="18" charset="0"/>
                          </a:rPr>
                          <m:t>𝑚𝐿</m:t>
                        </m:r>
                      </m:den>
                    </m:f>
                  </m:oMath>
                </m:oMathPara>
              </a14:m>
              <a:endParaRPr lang="ca-ES" sz="1100" b="1" baseline="0">
                <a:solidFill>
                  <a:sysClr val="windowText" lastClr="000000"/>
                </a:solidFill>
              </a:endParaRPr>
            </a:p>
          </xdr:txBody>
        </xdr:sp>
      </mc:Choice>
      <mc:Fallback xmlns="">
        <xdr:sp macro="" textlink="">
          <xdr:nvSpPr>
            <xdr:cNvPr id="4" name="CuadroTexto 2">
              <a:extLst>
                <a:ext uri="{FF2B5EF4-FFF2-40B4-BE49-F238E27FC236}">
                  <a16:creationId xmlns:a16="http://schemas.microsoft.com/office/drawing/2014/main" id="{6D390E55-687E-B046-9533-F1E0A77369BE}"/>
                </a:ext>
              </a:extLst>
            </xdr:cNvPr>
            <xdr:cNvSpPr txBox="1"/>
          </xdr:nvSpPr>
          <xdr:spPr>
            <a:xfrm>
              <a:off x="162560" y="3764281"/>
              <a:ext cx="7349895" cy="19998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a-ES" sz="1100">
                  <a:solidFill>
                    <a:sysClr val="windowText" lastClr="000000"/>
                  </a:solidFill>
                </a:rPr>
                <a:t>Dades:</a:t>
              </a:r>
            </a:p>
            <a:p>
              <a:r>
                <a:rPr lang="ca-ES" sz="1100">
                  <a:solidFill>
                    <a:sysClr val="windowText" lastClr="000000"/>
                  </a:solidFill>
                </a:rPr>
                <a:t>	PM (sal de Mohr) = 392.14 g/mol</a:t>
              </a:r>
            </a:p>
            <a:p>
              <a:r>
                <a:rPr lang="ca-ES" sz="1100">
                  <a:solidFill>
                    <a:sysClr val="windowText" lastClr="000000"/>
                  </a:solidFill>
                </a:rPr>
                <a:t>	PA</a:t>
              </a:r>
              <a:r>
                <a:rPr lang="ca-ES" sz="1100" baseline="0">
                  <a:solidFill>
                    <a:sysClr val="windowText" lastClr="000000"/>
                  </a:solidFill>
                </a:rPr>
                <a:t> (Fe) = 55.845 g/ mol</a:t>
              </a:r>
            </a:p>
            <a:p>
              <a:r>
                <a:rPr lang="ca-ES" sz="1100" baseline="0">
                  <a:solidFill>
                    <a:sysClr val="windowText" lastClr="000000"/>
                  </a:solidFill>
                </a:rPr>
                <a:t>Càlcul:</a:t>
              </a:r>
            </a:p>
            <a:p>
              <a:endParaRPr lang="ca-ES" sz="1100" baseline="0">
                <a:solidFill>
                  <a:sysClr val="windowText" lastClr="000000"/>
                </a:solidFill>
              </a:endParaRPr>
            </a:p>
            <a:p>
              <a:pPr/>
              <a:r>
                <a:rPr lang="es-ES" sz="1100" b="0" i="0" baseline="0">
                  <a:solidFill>
                    <a:sysClr val="windowText" lastClr="000000"/>
                  </a:solidFill>
                  <a:latin typeface="Cambria Math" panose="02040503050406030204" pitchFamily="18" charset="0"/>
                </a:rPr>
                <a:t>144</a:t>
              </a:r>
              <a:r>
                <a:rPr lang="ca-ES" sz="1100" b="0" i="0" baseline="0">
                  <a:solidFill>
                    <a:sysClr val="windowText" lastClr="000000"/>
                  </a:solidFill>
                  <a:latin typeface="Cambria Math" panose="02040503050406030204" pitchFamily="18" charset="0"/>
                </a:rPr>
                <a:t> </a:t>
              </a:r>
              <a:r>
                <a:rPr lang="es-ES" sz="1100" b="0" i="0" baseline="0">
                  <a:solidFill>
                    <a:sysClr val="windowText" lastClr="000000"/>
                  </a:solidFill>
                  <a:latin typeface="Cambria Math" panose="02040503050406030204" pitchFamily="18" charset="0"/>
                </a:rPr>
                <a:t>𝑚</a:t>
              </a:r>
              <a:r>
                <a:rPr lang="ca-ES" sz="1100" b="0" i="0" baseline="0">
                  <a:solidFill>
                    <a:sysClr val="windowText" lastClr="000000"/>
                  </a:solidFill>
                  <a:latin typeface="Cambria Math" panose="02040503050406030204" pitchFamily="18" charset="0"/>
                </a:rPr>
                <a:t>𝑔 𝑠𝑎𝑙 𝑑𝑒 𝑀𝑜ℎ𝑟·(1 </a:t>
              </a:r>
              <a:r>
                <a:rPr lang="es-ES" sz="1100" b="0" i="0" baseline="0">
                  <a:solidFill>
                    <a:sysClr val="windowText" lastClr="000000"/>
                  </a:solidFill>
                  <a:latin typeface="Cambria Math" panose="02040503050406030204" pitchFamily="18" charset="0"/>
                </a:rPr>
                <a:t>𝑔</a:t>
              </a:r>
              <a:r>
                <a:rPr lang="ca-ES" sz="1100" b="0" i="0" baseline="0">
                  <a:solidFill>
                    <a:sysClr val="windowText" lastClr="000000"/>
                  </a:solidFill>
                  <a:latin typeface="Cambria Math" panose="02040503050406030204" pitchFamily="18" charset="0"/>
                </a:rPr>
                <a:t> 𝑠𝑎𝑙)/(</a:t>
              </a:r>
              <a:r>
                <a:rPr lang="es-ES" sz="1100" b="0" i="0" baseline="0">
                  <a:solidFill>
                    <a:sysClr val="windowText" lastClr="000000"/>
                  </a:solidFill>
                  <a:latin typeface="Cambria Math" panose="02040503050406030204" pitchFamily="18" charset="0"/>
                </a:rPr>
                <a:t>10</a:t>
              </a:r>
              <a:r>
                <a:rPr lang="ca-ES" sz="1100" b="0" i="0" baseline="0">
                  <a:solidFill>
                    <a:sysClr val="windowText" lastClr="000000"/>
                  </a:solidFill>
                  <a:latin typeface="Cambria Math" panose="02040503050406030204" pitchFamily="18" charset="0"/>
                </a:rPr>
                <a:t>^</a:t>
              </a:r>
              <a:r>
                <a:rPr lang="es-ES" sz="1100" b="0" i="0" baseline="0">
                  <a:solidFill>
                    <a:sysClr val="windowText" lastClr="000000"/>
                  </a:solidFill>
                  <a:latin typeface="Cambria Math" panose="02040503050406030204" pitchFamily="18" charset="0"/>
                </a:rPr>
                <a:t>3</a:t>
              </a:r>
              <a:r>
                <a:rPr lang="ca-ES" sz="1100" b="0" i="0" baseline="0">
                  <a:solidFill>
                    <a:sysClr val="windowText" lastClr="000000"/>
                  </a:solidFill>
                  <a:latin typeface="Cambria Math" panose="02040503050406030204" pitchFamily="18" charset="0"/>
                </a:rPr>
                <a:t>  </a:t>
              </a:r>
              <a:r>
                <a:rPr lang="es-ES" sz="1100" b="0" i="0" baseline="0">
                  <a:solidFill>
                    <a:sysClr val="windowText" lastClr="000000"/>
                  </a:solidFill>
                  <a:latin typeface="Cambria Math" panose="02040503050406030204" pitchFamily="18" charset="0"/>
                </a:rPr>
                <a:t>𝑔</a:t>
              </a:r>
              <a:r>
                <a:rPr lang="ca-ES" sz="1100" b="0" i="0" baseline="0">
                  <a:solidFill>
                    <a:sysClr val="windowText" lastClr="000000"/>
                  </a:solidFill>
                  <a:latin typeface="Cambria Math" panose="02040503050406030204" pitchFamily="18" charset="0"/>
                </a:rPr>
                <a:t> 𝑠𝑎𝑙)</a:t>
              </a:r>
              <a:r>
                <a:rPr lang="es-ES" sz="1100" b="0" i="0" baseline="0">
                  <a:solidFill>
                    <a:sysClr val="windowText" lastClr="000000"/>
                  </a:solidFill>
                  <a:latin typeface="Cambria Math" panose="02040503050406030204" pitchFamily="18" charset="0"/>
                </a:rPr>
                <a:t>·</a:t>
              </a:r>
              <a:r>
                <a:rPr lang="ca-ES" sz="1100" b="0" i="0" baseline="0">
                  <a:solidFill>
                    <a:sysClr val="windowText" lastClr="000000"/>
                  </a:solidFill>
                  <a:latin typeface="Cambria Math" panose="02040503050406030204" pitchFamily="18" charset="0"/>
                </a:rPr>
                <a:t>(1 𝑚𝑜𝑙 𝑠𝑎𝑙)/(392.14 𝑔 𝑠𝑎𝑙)·(1 𝑚𝑜𝑙 𝐹𝑒^(2+))/(1 𝑚𝑜𝑙 𝑠𝑎𝑙)·(55.845 𝑔 𝐹𝑒^(2+))/(1 𝑚𝑜𝑙 𝐹𝑒^(2+)  )</a:t>
              </a:r>
              <a:r>
                <a:rPr lang="es-ES" sz="1100" b="0" i="0" baseline="0">
                  <a:solidFill>
                    <a:sysClr val="windowText" lastClr="000000"/>
                  </a:solidFill>
                  <a:latin typeface="Cambria Math" panose="02040503050406030204" pitchFamily="18" charset="0"/>
                </a:rPr>
                <a:t>·</a:t>
              </a:r>
              <a:r>
                <a:rPr lang="ca-ES" sz="1100" b="0" i="0" baseline="0">
                  <a:solidFill>
                    <a:sysClr val="windowText" lastClr="000000"/>
                  </a:solidFill>
                  <a:latin typeface="Cambria Math" panose="02040503050406030204" pitchFamily="18" charset="0"/>
                </a:rPr>
                <a:t>(</a:t>
              </a:r>
              <a:r>
                <a:rPr lang="es-ES" sz="1100" b="0" i="0" baseline="0">
                  <a:solidFill>
                    <a:sysClr val="windowText" lastClr="000000"/>
                  </a:solidFill>
                  <a:latin typeface="Cambria Math" panose="02040503050406030204" pitchFamily="18" charset="0"/>
                </a:rPr>
                <a:t>10</a:t>
              </a:r>
              <a:r>
                <a:rPr lang="ca-ES" sz="1100" b="0" i="0" baseline="0">
                  <a:solidFill>
                    <a:sysClr val="windowText" lastClr="000000"/>
                  </a:solidFill>
                  <a:latin typeface="Cambria Math" panose="02040503050406030204" pitchFamily="18" charset="0"/>
                </a:rPr>
                <a:t>^</a:t>
              </a:r>
              <a:r>
                <a:rPr lang="es-ES" sz="1100" b="0" i="0" baseline="0">
                  <a:solidFill>
                    <a:sysClr val="windowText" lastClr="000000"/>
                  </a:solidFill>
                  <a:latin typeface="Cambria Math" panose="02040503050406030204" pitchFamily="18" charset="0"/>
                </a:rPr>
                <a:t>3</a:t>
              </a:r>
              <a:r>
                <a:rPr lang="ca-ES" sz="1100" b="0" i="0" baseline="0">
                  <a:solidFill>
                    <a:sysClr val="windowText" lastClr="000000"/>
                  </a:solidFill>
                  <a:latin typeface="Cambria Math" panose="02040503050406030204" pitchFamily="18" charset="0"/>
                </a:rPr>
                <a:t>  </a:t>
              </a:r>
              <a:r>
                <a:rPr lang="es-ES" sz="1100" b="0" i="0" baseline="0">
                  <a:solidFill>
                    <a:sysClr val="windowText" lastClr="000000"/>
                  </a:solidFill>
                  <a:latin typeface="Cambria Math" panose="02040503050406030204" pitchFamily="18" charset="0"/>
                </a:rPr>
                <a:t>𝑚𝑔</a:t>
              </a:r>
              <a:r>
                <a:rPr lang="ca-ES" sz="1100" b="0" i="0" baseline="0">
                  <a:solidFill>
                    <a:sysClr val="windowText" lastClr="000000"/>
                  </a:solidFill>
                  <a:latin typeface="Cambria Math" panose="02040503050406030204" pitchFamily="18" charset="0"/>
                </a:rPr>
                <a:t> 𝐹𝑒^(2+))/( </a:t>
              </a:r>
              <a:r>
                <a:rPr lang="es-ES" sz="1100" b="0" i="0" baseline="0">
                  <a:solidFill>
                    <a:sysClr val="windowText" lastClr="000000"/>
                  </a:solidFill>
                  <a:latin typeface="Cambria Math" panose="02040503050406030204" pitchFamily="18" charset="0"/>
                </a:rPr>
                <a:t>1</a:t>
              </a:r>
              <a:r>
                <a:rPr lang="ca-ES" sz="1100" b="0" i="0" baseline="0">
                  <a:solidFill>
                    <a:sysClr val="windowText" lastClr="000000"/>
                  </a:solidFill>
                  <a:latin typeface="Cambria Math" panose="02040503050406030204" pitchFamily="18" charset="0"/>
                </a:rPr>
                <a:t> </a:t>
              </a:r>
              <a:r>
                <a:rPr lang="es-ES" sz="1100" b="0" i="0" baseline="0">
                  <a:solidFill>
                    <a:sysClr val="windowText" lastClr="000000"/>
                  </a:solidFill>
                  <a:latin typeface="Cambria Math" panose="02040503050406030204" pitchFamily="18" charset="0"/>
                </a:rPr>
                <a:t>𝑔</a:t>
              </a:r>
              <a:r>
                <a:rPr lang="ca-ES" sz="1100" b="0" i="0" baseline="0">
                  <a:solidFill>
                    <a:sysClr val="windowText" lastClr="000000"/>
                  </a:solidFill>
                  <a:latin typeface="Cambria Math" panose="02040503050406030204" pitchFamily="18" charset="0"/>
                </a:rPr>
                <a:t> 𝐹𝑒^(2+) )</a:t>
              </a:r>
              <a:r>
                <a:rPr lang="es-ES" sz="1100" b="0" i="0" baseline="0">
                  <a:solidFill>
                    <a:sysClr val="windowText" lastClr="000000"/>
                  </a:solidFill>
                  <a:latin typeface="Cambria Math" panose="02040503050406030204" pitchFamily="18" charset="0"/>
                </a:rPr>
                <a:t>=20.5</a:t>
              </a:r>
              <a:r>
                <a:rPr lang="ca-ES" sz="1100" b="0" i="0" baseline="0">
                  <a:solidFill>
                    <a:sysClr val="windowText" lastClr="000000"/>
                  </a:solidFill>
                  <a:latin typeface="Cambria Math" panose="02040503050406030204" pitchFamily="18" charset="0"/>
                </a:rPr>
                <a:t> 𝑚𝑔</a:t>
              </a:r>
              <a:r>
                <a:rPr lang="es-ES" sz="1100" b="0" i="0" baseline="0">
                  <a:solidFill>
                    <a:sysClr val="windowText" lastClr="000000"/>
                  </a:solidFill>
                  <a:latin typeface="Cambria Math" panose="02040503050406030204" pitchFamily="18" charset="0"/>
                </a:rPr>
                <a:t> 𝐹𝑒^(2+)</a:t>
              </a:r>
              <a:endParaRPr lang="ca-ES" sz="1100" baseline="0">
                <a:solidFill>
                  <a:sysClr val="windowText" lastClr="000000"/>
                </a:solidFill>
              </a:endParaRPr>
            </a:p>
            <a:p>
              <a:endParaRPr lang="es-ES" sz="1100" b="0" i="1" baseline="0">
                <a:solidFill>
                  <a:sysClr val="windowText" lastClr="000000"/>
                </a:solidFill>
                <a:latin typeface="Cambria Math" panose="02040503050406030204" pitchFamily="18" charset="0"/>
              </a:endParaRPr>
            </a:p>
            <a:p>
              <a:pPr/>
              <a:r>
                <a:rPr lang="es-ES" sz="1100" b="0" i="0" baseline="0">
                  <a:solidFill>
                    <a:sysClr val="windowText" lastClr="000000"/>
                  </a:solidFill>
                  <a:latin typeface="Cambria Math" panose="02040503050406030204" pitchFamily="18" charset="0"/>
                </a:rPr>
                <a:t>( 20.5</a:t>
              </a:r>
              <a:r>
                <a:rPr lang="es-ES" sz="1100" b="0" i="0" baseline="0">
                  <a:solidFill>
                    <a:sysClr val="windowText" lastClr="000000"/>
                  </a:solidFill>
                  <a:effectLst/>
                  <a:latin typeface="Cambria Math" panose="02040503050406030204" pitchFamily="18" charset="0"/>
                  <a:ea typeface="+mn-ea"/>
                  <a:cs typeface="+mn-cs"/>
                </a:rPr>
                <a:t>𝑚𝑔 </a:t>
              </a:r>
              <a:r>
                <a:rPr lang="es-ES" sz="1100" b="0" i="0" baseline="0">
                  <a:solidFill>
                    <a:sysClr val="windowText" lastClr="000000"/>
                  </a:solidFill>
                  <a:latin typeface="Cambria Math" panose="02040503050406030204" pitchFamily="18" charset="0"/>
                </a:rPr>
                <a:t>𝐹𝑒^(2+))/(500.0 𝑚𝐿)=0.041 ( </a:t>
              </a:r>
              <a:r>
                <a:rPr lang="es-ES" sz="1100" b="0" i="0" baseline="0">
                  <a:solidFill>
                    <a:sysClr val="windowText" lastClr="000000"/>
                  </a:solidFill>
                  <a:effectLst/>
                  <a:latin typeface="Cambria Math" panose="02040503050406030204" pitchFamily="18" charset="0"/>
                  <a:ea typeface="+mn-ea"/>
                  <a:cs typeface="+mn-cs"/>
                </a:rPr>
                <a:t> </a:t>
              </a:r>
              <a:r>
                <a:rPr lang="es-ES" sz="1100" b="0" i="0" baseline="0">
                  <a:solidFill>
                    <a:sysClr val="windowText" lastClr="000000"/>
                  </a:solidFill>
                  <a:latin typeface="Cambria Math" panose="02040503050406030204" pitchFamily="18" charset="0"/>
                </a:rPr>
                <a:t>𝐹𝑒^(2+))/( 𝑚𝐿)</a:t>
              </a:r>
              <a:endParaRPr lang="ca-ES" sz="1100" b="1" baseline="0">
                <a:solidFill>
                  <a:sysClr val="windowText" lastClr="000000"/>
                </a:solidFill>
              </a:endParaRPr>
            </a:p>
          </xdr:txBody>
        </xdr:sp>
      </mc:Fallback>
    </mc:AlternateContent>
    <xdr:clientData/>
  </xdr:twoCellAnchor>
  <xdr:twoCellAnchor>
    <xdr:from>
      <xdr:col>0</xdr:col>
      <xdr:colOff>153146</xdr:colOff>
      <xdr:row>47</xdr:row>
      <xdr:rowOff>65740</xdr:rowOff>
    </xdr:from>
    <xdr:to>
      <xdr:col>5</xdr:col>
      <xdr:colOff>886571</xdr:colOff>
      <xdr:row>58</xdr:row>
      <xdr:rowOff>37165</xdr:rowOff>
    </xdr:to>
    <mc:AlternateContent xmlns:mc="http://schemas.openxmlformats.org/markup-compatibility/2006" xmlns:a14="http://schemas.microsoft.com/office/drawing/2010/main">
      <mc:Choice Requires="a14">
        <xdr:sp macro="" textlink="">
          <xdr:nvSpPr>
            <xdr:cNvPr id="5" name="CuadroTexto 4">
              <a:extLst>
                <a:ext uri="{FF2B5EF4-FFF2-40B4-BE49-F238E27FC236}">
                  <a16:creationId xmlns:a16="http://schemas.microsoft.com/office/drawing/2014/main" id="{7ACAE765-D698-FB48-B957-080E9F8532E3}"/>
                </a:ext>
              </a:extLst>
            </xdr:cNvPr>
            <xdr:cNvSpPr txBox="1"/>
          </xdr:nvSpPr>
          <xdr:spPr>
            <a:xfrm>
              <a:off x="153146" y="10682940"/>
              <a:ext cx="6956425" cy="2066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a-ES" sz="1100"/>
                <a:t>Dades:</a:t>
              </a:r>
            </a:p>
            <a:p>
              <a:r>
                <a:rPr lang="ca-ES" sz="1100"/>
                <a:t>	Concentració de la dissolució de treball de Fe (II) = 0.02051 mg</a:t>
              </a:r>
              <a:r>
                <a:rPr lang="ca-ES" sz="1100" baseline="0"/>
                <a:t> Fe(II)/mL</a:t>
              </a:r>
              <a:endParaRPr lang="ca-ES" sz="1100" b="0" i="0" u="none" strike="noStrike" baseline="0">
                <a:solidFill>
                  <a:schemeClr val="dk1"/>
                </a:solidFill>
                <a:effectLst/>
                <a:latin typeface="+mn-lt"/>
                <a:ea typeface="+mn-ea"/>
                <a:cs typeface="+mn-cs"/>
              </a:endParaRPr>
            </a:p>
            <a:p>
              <a:r>
                <a:rPr lang="ca-ES" sz="1100" b="0" i="0" u="none" strike="noStrike" baseline="0">
                  <a:solidFill>
                    <a:schemeClr val="dk1"/>
                  </a:solidFill>
                  <a:effectLst/>
                  <a:latin typeface="+mn-lt"/>
                  <a:ea typeface="+mn-ea"/>
                  <a:cs typeface="+mn-cs"/>
                </a:rPr>
                <a:t>	Volum de la dissolució  de treball emprat per fer la dissolució patró = 5.0 mL </a:t>
              </a:r>
            </a:p>
            <a:p>
              <a:r>
                <a:rPr lang="ca-ES" sz="1100" b="0" i="0" u="none" strike="noStrike" baseline="0">
                  <a:solidFill>
                    <a:schemeClr val="dk1"/>
                  </a:solidFill>
                  <a:effectLst/>
                  <a:latin typeface="+mn-lt"/>
                  <a:ea typeface="+mn-ea"/>
                  <a:cs typeface="+mn-cs"/>
                </a:rPr>
                <a:t>	Volum de la dissolució patró = 25.0 mL</a:t>
              </a:r>
            </a:p>
            <a:p>
              <a:r>
                <a:rPr lang="ca-ES" sz="1100" b="0" i="0" u="none" strike="noStrike" baseline="0">
                  <a:solidFill>
                    <a:schemeClr val="dk1"/>
                  </a:solidFill>
                  <a:effectLst/>
                  <a:latin typeface="+mn-lt"/>
                  <a:ea typeface="+mn-ea"/>
                  <a:cs typeface="+mn-cs"/>
                </a:rPr>
                <a:t>Càlculs:</a:t>
              </a:r>
            </a:p>
            <a:p>
              <a:endParaRPr lang="ca-ES" sz="1100" b="0" i="0" u="none" strike="noStrike" baseline="0">
                <a:solidFill>
                  <a:schemeClr val="dk1"/>
                </a:solidFill>
                <a:effectLst/>
                <a:latin typeface="+mn-lt"/>
                <a:ea typeface="+mn-ea"/>
                <a:cs typeface="+mn-cs"/>
              </a:endParaRPr>
            </a:p>
            <a:p>
              <a:pPr/>
              <a14:m>
                <m:oMathPara xmlns:m="http://schemas.openxmlformats.org/officeDocument/2006/math">
                  <m:oMathParaPr>
                    <m:jc m:val="centerGroup"/>
                  </m:oMathParaPr>
                  <m:oMath xmlns:m="http://schemas.openxmlformats.org/officeDocument/2006/math">
                    <m:f>
                      <m:fPr>
                        <m:ctrlPr>
                          <a:rPr lang="es-ES" sz="1100" b="0" i="1" u="none" strike="noStrike" baseline="0">
                            <a:solidFill>
                              <a:schemeClr val="dk1"/>
                            </a:solidFill>
                            <a:effectLst/>
                            <a:latin typeface="Cambria Math" panose="02040503050406030204" pitchFamily="18" charset="0"/>
                            <a:ea typeface="+mn-ea"/>
                            <a:cs typeface="+mn-cs"/>
                          </a:rPr>
                        </m:ctrlPr>
                      </m:fPr>
                      <m:num>
                        <m:r>
                          <m:rPr>
                            <m:nor/>
                          </m:rPr>
                          <a:rPr lang="ca-ES" sz="1100"/>
                          <m:t>0.02051</m:t>
                        </m:r>
                        <m:r>
                          <a:rPr lang="es-ES" sz="1100" b="0" i="1" u="none" strike="noStrike" baseline="0">
                            <a:solidFill>
                              <a:schemeClr val="dk1"/>
                            </a:solidFill>
                            <a:effectLst/>
                            <a:latin typeface="Cambria Math" panose="02040503050406030204" pitchFamily="18" charset="0"/>
                            <a:ea typeface="+mn-ea"/>
                            <a:cs typeface="+mn-cs"/>
                          </a:rPr>
                          <m:t> </m:t>
                        </m:r>
                        <m:f>
                          <m:fPr>
                            <m:ctrlPr>
                              <a:rPr lang="es-ES" sz="1100" b="0" i="1" u="none" strike="noStrike" baseline="0">
                                <a:solidFill>
                                  <a:schemeClr val="dk1"/>
                                </a:solidFill>
                                <a:effectLst/>
                                <a:latin typeface="Cambria Math" panose="02040503050406030204" pitchFamily="18" charset="0"/>
                                <a:ea typeface="+mn-ea"/>
                                <a:cs typeface="+mn-cs"/>
                              </a:rPr>
                            </m:ctrlPr>
                          </m:fPr>
                          <m:num>
                            <m:r>
                              <a:rPr lang="es-ES" sz="1100" b="0" i="1" u="none" strike="noStrike" baseline="0">
                                <a:solidFill>
                                  <a:schemeClr val="dk1"/>
                                </a:solidFill>
                                <a:effectLst/>
                                <a:latin typeface="Cambria Math" panose="02040503050406030204" pitchFamily="18" charset="0"/>
                                <a:ea typeface="+mn-ea"/>
                                <a:cs typeface="+mn-cs"/>
                              </a:rPr>
                              <m:t>𝑚𝑔</m:t>
                            </m:r>
                            <m:r>
                              <a:rPr lang="es-ES" sz="1100" b="0" i="1" u="none" strike="noStrike" baseline="0">
                                <a:solidFill>
                                  <a:schemeClr val="dk1"/>
                                </a:solidFill>
                                <a:effectLst/>
                                <a:latin typeface="Cambria Math" panose="02040503050406030204" pitchFamily="18" charset="0"/>
                                <a:ea typeface="+mn-ea"/>
                                <a:cs typeface="+mn-cs"/>
                              </a:rPr>
                              <m:t> </m:t>
                            </m:r>
                            <m:r>
                              <a:rPr lang="es-ES" sz="1100" b="0" i="1" u="none" strike="noStrike" baseline="0">
                                <a:solidFill>
                                  <a:schemeClr val="dk1"/>
                                </a:solidFill>
                                <a:effectLst/>
                                <a:latin typeface="Cambria Math" panose="02040503050406030204" pitchFamily="18" charset="0"/>
                                <a:ea typeface="+mn-ea"/>
                                <a:cs typeface="+mn-cs"/>
                              </a:rPr>
                              <m:t>𝐹</m:t>
                            </m:r>
                            <m:sSup>
                              <m:sSupPr>
                                <m:ctrlPr>
                                  <a:rPr lang="es-ES" sz="1100" b="0" i="1" u="none" strike="noStrike" baseline="0">
                                    <a:solidFill>
                                      <a:schemeClr val="dk1"/>
                                    </a:solidFill>
                                    <a:effectLst/>
                                    <a:latin typeface="Cambria Math" panose="02040503050406030204" pitchFamily="18" charset="0"/>
                                    <a:ea typeface="+mn-ea"/>
                                    <a:cs typeface="+mn-cs"/>
                                  </a:rPr>
                                </m:ctrlPr>
                              </m:sSupPr>
                              <m:e>
                                <m:r>
                                  <a:rPr lang="es-ES" sz="1100" b="0" i="1" u="none" strike="noStrike" baseline="0">
                                    <a:solidFill>
                                      <a:schemeClr val="dk1"/>
                                    </a:solidFill>
                                    <a:effectLst/>
                                    <a:latin typeface="Cambria Math" panose="02040503050406030204" pitchFamily="18" charset="0"/>
                                    <a:ea typeface="+mn-ea"/>
                                    <a:cs typeface="+mn-cs"/>
                                  </a:rPr>
                                  <m:t>𝑒</m:t>
                                </m:r>
                              </m:e>
                              <m:sup>
                                <m:r>
                                  <a:rPr lang="es-ES" sz="1100" b="0" i="1" u="none" strike="noStrike" baseline="0">
                                    <a:solidFill>
                                      <a:schemeClr val="dk1"/>
                                    </a:solidFill>
                                    <a:effectLst/>
                                    <a:latin typeface="Cambria Math" panose="02040503050406030204" pitchFamily="18" charset="0"/>
                                    <a:ea typeface="+mn-ea"/>
                                    <a:cs typeface="+mn-cs"/>
                                  </a:rPr>
                                  <m:t>2+</m:t>
                                </m:r>
                              </m:sup>
                            </m:sSup>
                          </m:num>
                          <m:den>
                            <m:r>
                              <a:rPr lang="es-ES" sz="1100" b="0" i="1" u="none" strike="noStrike" baseline="0">
                                <a:solidFill>
                                  <a:schemeClr val="dk1"/>
                                </a:solidFill>
                                <a:effectLst/>
                                <a:latin typeface="Cambria Math" panose="02040503050406030204" pitchFamily="18" charset="0"/>
                                <a:ea typeface="+mn-ea"/>
                                <a:cs typeface="+mn-cs"/>
                              </a:rPr>
                              <m:t>𝑚𝐿</m:t>
                            </m:r>
                          </m:den>
                        </m:f>
                        <m:r>
                          <a:rPr lang="es-ES" sz="1100" b="0" i="1" u="none" strike="noStrike" baseline="0">
                            <a:solidFill>
                              <a:schemeClr val="dk1"/>
                            </a:solidFill>
                            <a:effectLst/>
                            <a:latin typeface="Cambria Math" panose="02040503050406030204" pitchFamily="18" charset="0"/>
                            <a:ea typeface="+mn-ea"/>
                            <a:cs typeface="+mn-cs"/>
                          </a:rPr>
                          <m:t>·5.0 </m:t>
                        </m:r>
                        <m:r>
                          <a:rPr lang="es-ES" sz="1100" b="0" i="1" u="none" strike="noStrike" baseline="0">
                            <a:solidFill>
                              <a:schemeClr val="dk1"/>
                            </a:solidFill>
                            <a:effectLst/>
                            <a:latin typeface="Cambria Math" panose="02040503050406030204" pitchFamily="18" charset="0"/>
                            <a:ea typeface="+mn-ea"/>
                            <a:cs typeface="+mn-cs"/>
                          </a:rPr>
                          <m:t>𝑚𝐿</m:t>
                        </m:r>
                      </m:num>
                      <m:den>
                        <m:r>
                          <a:rPr lang="es-ES" sz="1100" b="0" i="1" u="none" strike="noStrike" baseline="0">
                            <a:solidFill>
                              <a:schemeClr val="dk1"/>
                            </a:solidFill>
                            <a:effectLst/>
                            <a:latin typeface="Cambria Math" panose="02040503050406030204" pitchFamily="18" charset="0"/>
                            <a:ea typeface="+mn-ea"/>
                            <a:cs typeface="+mn-cs"/>
                          </a:rPr>
                          <m:t>25.0 </m:t>
                        </m:r>
                        <m:r>
                          <a:rPr lang="es-ES" sz="1100" b="0" i="1" u="none" strike="noStrike" baseline="0">
                            <a:solidFill>
                              <a:schemeClr val="dk1"/>
                            </a:solidFill>
                            <a:effectLst/>
                            <a:latin typeface="Cambria Math" panose="02040503050406030204" pitchFamily="18" charset="0"/>
                            <a:ea typeface="+mn-ea"/>
                            <a:cs typeface="+mn-cs"/>
                          </a:rPr>
                          <m:t>𝑚𝐿</m:t>
                        </m:r>
                      </m:den>
                    </m:f>
                    <m:r>
                      <a:rPr lang="es-ES" sz="1100" b="0" i="1" u="none" strike="noStrike" baseline="0">
                        <a:solidFill>
                          <a:schemeClr val="dk1"/>
                        </a:solidFill>
                        <a:effectLst/>
                        <a:latin typeface="Cambria Math" panose="02040503050406030204" pitchFamily="18" charset="0"/>
                        <a:ea typeface="+mn-ea"/>
                        <a:cs typeface="+mn-cs"/>
                      </a:rPr>
                      <m:t>=</m:t>
                    </m:r>
                    <m:r>
                      <m:rPr>
                        <m:nor/>
                      </m:rPr>
                      <a:rPr lang="en-ES" sz="1100" b="0" i="0" u="none" strike="noStrike">
                        <a:solidFill>
                          <a:schemeClr val="dk1"/>
                        </a:solidFill>
                        <a:effectLst/>
                        <a:latin typeface="+mn-lt"/>
                        <a:ea typeface="+mn-ea"/>
                        <a:cs typeface="+mn-cs"/>
                      </a:rPr>
                      <m:t>0.004101</m:t>
                    </m:r>
                    <m:r>
                      <m:rPr>
                        <m:nor/>
                      </m:rPr>
                      <a:rPr lang="en-ES"/>
                      <m:t> </m:t>
                    </m:r>
                    <m:r>
                      <a:rPr lang="es-ES" sz="1100" b="0" i="1" u="none" strike="noStrike" baseline="0">
                        <a:solidFill>
                          <a:schemeClr val="dk1"/>
                        </a:solidFill>
                        <a:effectLst/>
                        <a:latin typeface="Cambria Math" panose="02040503050406030204" pitchFamily="18" charset="0"/>
                        <a:ea typeface="+mn-ea"/>
                        <a:cs typeface="+mn-cs"/>
                      </a:rPr>
                      <m:t>𝑚𝑔</m:t>
                    </m:r>
                    <m:r>
                      <a:rPr lang="es-ES" sz="1100" b="0" i="1" u="none" strike="noStrike" baseline="0">
                        <a:solidFill>
                          <a:schemeClr val="dk1"/>
                        </a:solidFill>
                        <a:effectLst/>
                        <a:latin typeface="Cambria Math" panose="02040503050406030204" pitchFamily="18" charset="0"/>
                        <a:ea typeface="+mn-ea"/>
                        <a:cs typeface="+mn-cs"/>
                      </a:rPr>
                      <m:t> </m:t>
                    </m:r>
                    <m:r>
                      <a:rPr lang="es-ES" sz="1100" b="0" i="1" u="none" strike="noStrike" baseline="0">
                        <a:solidFill>
                          <a:schemeClr val="dk1"/>
                        </a:solidFill>
                        <a:effectLst/>
                        <a:latin typeface="Cambria Math" panose="02040503050406030204" pitchFamily="18" charset="0"/>
                        <a:ea typeface="+mn-ea"/>
                        <a:cs typeface="+mn-cs"/>
                      </a:rPr>
                      <m:t>𝐹</m:t>
                    </m:r>
                    <m:sSup>
                      <m:sSupPr>
                        <m:ctrlPr>
                          <a:rPr lang="es-ES" sz="1100" b="0" i="1" u="none" strike="noStrike" baseline="0">
                            <a:solidFill>
                              <a:schemeClr val="dk1"/>
                            </a:solidFill>
                            <a:effectLst/>
                            <a:latin typeface="Cambria Math" panose="02040503050406030204" pitchFamily="18" charset="0"/>
                            <a:ea typeface="+mn-ea"/>
                            <a:cs typeface="+mn-cs"/>
                          </a:rPr>
                        </m:ctrlPr>
                      </m:sSupPr>
                      <m:e>
                        <m:r>
                          <a:rPr lang="es-ES" sz="1100" b="0" i="1" u="none" strike="noStrike" baseline="0">
                            <a:solidFill>
                              <a:schemeClr val="dk1"/>
                            </a:solidFill>
                            <a:effectLst/>
                            <a:latin typeface="Cambria Math" panose="02040503050406030204" pitchFamily="18" charset="0"/>
                            <a:ea typeface="+mn-ea"/>
                            <a:cs typeface="+mn-cs"/>
                          </a:rPr>
                          <m:t>𝑒</m:t>
                        </m:r>
                      </m:e>
                      <m:sup>
                        <m:r>
                          <a:rPr lang="es-ES" sz="1100" b="0" i="1" u="none" strike="noStrike" baseline="0">
                            <a:solidFill>
                              <a:schemeClr val="dk1"/>
                            </a:solidFill>
                            <a:effectLst/>
                            <a:latin typeface="Cambria Math" panose="02040503050406030204" pitchFamily="18" charset="0"/>
                            <a:ea typeface="+mn-ea"/>
                            <a:cs typeface="+mn-cs"/>
                          </a:rPr>
                          <m:t>2+</m:t>
                        </m:r>
                      </m:sup>
                    </m:sSup>
                    <m:r>
                      <a:rPr lang="es-ES" sz="1100" b="0" i="1" u="none" strike="noStrike" baseline="0">
                        <a:solidFill>
                          <a:schemeClr val="dk1"/>
                        </a:solidFill>
                        <a:effectLst/>
                        <a:latin typeface="Cambria Math" panose="02040503050406030204" pitchFamily="18" charset="0"/>
                        <a:ea typeface="+mn-ea"/>
                        <a:cs typeface="+mn-cs"/>
                      </a:rPr>
                      <m:t>/</m:t>
                    </m:r>
                    <m:r>
                      <a:rPr lang="es-ES" sz="1100" b="0" i="1" u="none" strike="noStrike" baseline="0">
                        <a:solidFill>
                          <a:schemeClr val="dk1"/>
                        </a:solidFill>
                        <a:effectLst/>
                        <a:latin typeface="Cambria Math" panose="02040503050406030204" pitchFamily="18" charset="0"/>
                        <a:ea typeface="+mn-ea"/>
                        <a:cs typeface="+mn-cs"/>
                      </a:rPr>
                      <m:t>𝑚𝐿</m:t>
                    </m:r>
                  </m:oMath>
                </m:oMathPara>
              </a14:m>
              <a:endParaRPr lang="ca-ES" sz="1100" b="0" i="0" u="none" strike="noStrike" baseline="0">
                <a:solidFill>
                  <a:schemeClr val="dk1"/>
                </a:solidFill>
                <a:effectLst/>
                <a:latin typeface="+mn-lt"/>
                <a:ea typeface="+mn-ea"/>
                <a:cs typeface="+mn-cs"/>
              </a:endParaRPr>
            </a:p>
          </xdr:txBody>
        </xdr:sp>
      </mc:Choice>
      <mc:Fallback xmlns="">
        <xdr:sp macro="" textlink="">
          <xdr:nvSpPr>
            <xdr:cNvPr id="5" name="CuadroTexto 4">
              <a:extLst>
                <a:ext uri="{FF2B5EF4-FFF2-40B4-BE49-F238E27FC236}">
                  <a16:creationId xmlns:a16="http://schemas.microsoft.com/office/drawing/2014/main" id="{7ACAE765-D698-FB48-B957-080E9F8532E3}"/>
                </a:ext>
              </a:extLst>
            </xdr:cNvPr>
            <xdr:cNvSpPr txBox="1"/>
          </xdr:nvSpPr>
          <xdr:spPr>
            <a:xfrm>
              <a:off x="153146" y="10682940"/>
              <a:ext cx="6956425" cy="2066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a-ES" sz="1100"/>
                <a:t>Dades:</a:t>
              </a:r>
            </a:p>
            <a:p>
              <a:r>
                <a:rPr lang="ca-ES" sz="1100"/>
                <a:t>	Concentració de la dissolució de treball de Fe (II) = 0.02051 mg</a:t>
              </a:r>
              <a:r>
                <a:rPr lang="ca-ES" sz="1100" baseline="0"/>
                <a:t> Fe(II)/mL</a:t>
              </a:r>
              <a:endParaRPr lang="ca-ES" sz="1100" b="0" i="0" u="none" strike="noStrike" baseline="0">
                <a:solidFill>
                  <a:schemeClr val="dk1"/>
                </a:solidFill>
                <a:effectLst/>
                <a:latin typeface="+mn-lt"/>
                <a:ea typeface="+mn-ea"/>
                <a:cs typeface="+mn-cs"/>
              </a:endParaRPr>
            </a:p>
            <a:p>
              <a:r>
                <a:rPr lang="ca-ES" sz="1100" b="0" i="0" u="none" strike="noStrike" baseline="0">
                  <a:solidFill>
                    <a:schemeClr val="dk1"/>
                  </a:solidFill>
                  <a:effectLst/>
                  <a:latin typeface="+mn-lt"/>
                  <a:ea typeface="+mn-ea"/>
                  <a:cs typeface="+mn-cs"/>
                </a:rPr>
                <a:t>	Volum de la dissolució  de treball emprat per fer la dissolució patró = 5.0 mL </a:t>
              </a:r>
            </a:p>
            <a:p>
              <a:r>
                <a:rPr lang="ca-ES" sz="1100" b="0" i="0" u="none" strike="noStrike" baseline="0">
                  <a:solidFill>
                    <a:schemeClr val="dk1"/>
                  </a:solidFill>
                  <a:effectLst/>
                  <a:latin typeface="+mn-lt"/>
                  <a:ea typeface="+mn-ea"/>
                  <a:cs typeface="+mn-cs"/>
                </a:rPr>
                <a:t>	Volum de la dissolució patró = 25.0 mL</a:t>
              </a:r>
            </a:p>
            <a:p>
              <a:r>
                <a:rPr lang="ca-ES" sz="1100" b="0" i="0" u="none" strike="noStrike" baseline="0">
                  <a:solidFill>
                    <a:schemeClr val="dk1"/>
                  </a:solidFill>
                  <a:effectLst/>
                  <a:latin typeface="+mn-lt"/>
                  <a:ea typeface="+mn-ea"/>
                  <a:cs typeface="+mn-cs"/>
                </a:rPr>
                <a:t>Càlculs:</a:t>
              </a:r>
            </a:p>
            <a:p>
              <a:endParaRPr lang="ca-ES" sz="1100" b="0" i="0" u="none" strike="noStrike" baseline="0">
                <a:solidFill>
                  <a:schemeClr val="dk1"/>
                </a:solidFill>
                <a:effectLst/>
                <a:latin typeface="+mn-lt"/>
                <a:ea typeface="+mn-ea"/>
                <a:cs typeface="+mn-cs"/>
              </a:endParaRPr>
            </a:p>
            <a:p>
              <a:pPr/>
              <a:r>
                <a:rPr lang="es-ES" sz="1100" b="0" i="0" u="none" strike="noStrike" baseline="0">
                  <a:solidFill>
                    <a:schemeClr val="dk1"/>
                  </a:solidFill>
                  <a:effectLst/>
                  <a:latin typeface="Cambria Math" panose="02040503050406030204" pitchFamily="18" charset="0"/>
                  <a:ea typeface="+mn-ea"/>
                  <a:cs typeface="+mn-cs"/>
                </a:rPr>
                <a:t>(</a:t>
              </a:r>
              <a:r>
                <a:rPr lang="ca-ES" sz="1100" b="0" i="0" u="none" strike="noStrike" baseline="0">
                  <a:solidFill>
                    <a:schemeClr val="dk1"/>
                  </a:solidFill>
                  <a:effectLst/>
                  <a:latin typeface="Cambria Math" panose="02040503050406030204" pitchFamily="18" charset="0"/>
                  <a:ea typeface="+mn-ea"/>
                  <a:cs typeface="+mn-cs"/>
                </a:rPr>
                <a:t>"</a:t>
              </a:r>
              <a:r>
                <a:rPr lang="ca-ES" sz="1100" i="0"/>
                <a:t>0.02051</a:t>
              </a:r>
              <a:r>
                <a:rPr lang="es-ES" sz="1100" b="0" i="0" u="none" strike="noStrike" baseline="0">
                  <a:solidFill>
                    <a:schemeClr val="dk1"/>
                  </a:solidFill>
                  <a:effectLst/>
                  <a:latin typeface="Cambria Math" panose="02040503050406030204" pitchFamily="18" charset="0"/>
                  <a:ea typeface="+mn-ea"/>
                  <a:cs typeface="+mn-cs"/>
                </a:rPr>
                <a:t>"  (𝑚𝑔 𝐹𝑒^(2+))/𝑚𝐿·5.0 𝑚𝐿)/(25.0 𝑚𝐿)=</a:t>
              </a:r>
              <a:r>
                <a:rPr lang="en-ES" sz="1100" b="0" i="0" u="none" strike="noStrike" baseline="0">
                  <a:solidFill>
                    <a:schemeClr val="dk1"/>
                  </a:solidFill>
                  <a:effectLst/>
                  <a:latin typeface="Cambria Math" panose="02040503050406030204" pitchFamily="18" charset="0"/>
                  <a:ea typeface="+mn-ea"/>
                  <a:cs typeface="+mn-cs"/>
                </a:rPr>
                <a:t>"</a:t>
              </a:r>
              <a:r>
                <a:rPr lang="en-ES" sz="1100" b="0" i="0" u="none" strike="noStrike">
                  <a:solidFill>
                    <a:schemeClr val="dk1"/>
                  </a:solidFill>
                  <a:effectLst/>
                  <a:latin typeface="Cambria Math" panose="02040503050406030204" pitchFamily="18" charset="0"/>
                  <a:ea typeface="+mn-ea"/>
                  <a:cs typeface="+mn-cs"/>
                </a:rPr>
                <a:t>0.004101</a:t>
              </a:r>
              <a:r>
                <a:rPr lang="en-ES" i="0">
                  <a:latin typeface="Cambria Math" panose="02040503050406030204" pitchFamily="18" charset="0"/>
                </a:rPr>
                <a:t> </a:t>
              </a:r>
              <a:r>
                <a:rPr lang="es-ES" sz="1100" b="0" i="0" u="none" strike="noStrike" baseline="0">
                  <a:solidFill>
                    <a:schemeClr val="dk1"/>
                  </a:solidFill>
                  <a:effectLst/>
                  <a:latin typeface="Cambria Math" panose="02040503050406030204" pitchFamily="18" charset="0"/>
                  <a:ea typeface="+mn-ea"/>
                  <a:cs typeface="+mn-cs"/>
                </a:rPr>
                <a:t>" 𝑚𝑔 𝐹𝑒^(2+)/𝑚𝐿</a:t>
              </a:r>
              <a:endParaRPr lang="ca-ES" sz="1100" b="0" i="0" u="none" strike="noStrike" baseline="0">
                <a:solidFill>
                  <a:schemeClr val="dk1"/>
                </a:solidFill>
                <a:effectLst/>
                <a:latin typeface="+mn-lt"/>
                <a:ea typeface="+mn-ea"/>
                <a:cs typeface="+mn-cs"/>
              </a:endParaRPr>
            </a:p>
          </xdr:txBody>
        </xdr:sp>
      </mc:Fallback>
    </mc:AlternateContent>
    <xdr:clientData/>
  </xdr:twoCellAnchor>
  <xdr:twoCellAnchor>
    <xdr:from>
      <xdr:col>0</xdr:col>
      <xdr:colOff>94168</xdr:colOff>
      <xdr:row>72</xdr:row>
      <xdr:rowOff>203200</xdr:rowOff>
    </xdr:from>
    <xdr:to>
      <xdr:col>6</xdr:col>
      <xdr:colOff>233679</xdr:colOff>
      <xdr:row>85</xdr:row>
      <xdr:rowOff>98119</xdr:rowOff>
    </xdr:to>
    <xdr:graphicFrame macro="">
      <xdr:nvGraphicFramePr>
        <xdr:cNvPr id="6" name="Gráfico 6">
          <a:extLst>
            <a:ext uri="{FF2B5EF4-FFF2-40B4-BE49-F238E27FC236}">
              <a16:creationId xmlns:a16="http://schemas.microsoft.com/office/drawing/2014/main" id="{6667EC3F-5BD4-6246-BC45-8C8BDB9C3C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97</xdr:row>
      <xdr:rowOff>33866</xdr:rowOff>
    </xdr:from>
    <xdr:to>
      <xdr:col>6</xdr:col>
      <xdr:colOff>838200</xdr:colOff>
      <xdr:row>100</xdr:row>
      <xdr:rowOff>59267</xdr:rowOff>
    </xdr:to>
    <xdr:sp macro="" textlink="">
      <xdr:nvSpPr>
        <xdr:cNvPr id="7" name="TextBox 6">
          <a:extLst>
            <a:ext uri="{FF2B5EF4-FFF2-40B4-BE49-F238E27FC236}">
              <a16:creationId xmlns:a16="http://schemas.microsoft.com/office/drawing/2014/main" id="{27A89E61-2321-DA47-8844-D2A9A5CF6DD9}"/>
            </a:ext>
          </a:extLst>
        </xdr:cNvPr>
        <xdr:cNvSpPr txBox="1"/>
      </xdr:nvSpPr>
      <xdr:spPr>
        <a:xfrm>
          <a:off x="0" y="21242866"/>
          <a:ext cx="8026400" cy="5969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a:t>Hem observat que el valor indicat a l’etiqueta, és a dir, el valor nominal de 5 mg per comprimit, es troba dins de l’interval de confiança obtingut mitjançant la recta de calibratge amb la tècnica d’absorció UV-Vis, que és de (5,2 ± 0,4) mg per comprimit. Ambdós resultats són coherents i, per tant, compatibles, fet que ens permet concloure que el resultat és plenament satisfactori.</a:t>
          </a:r>
        </a:p>
      </xdr:txBody>
    </xdr:sp>
    <xdr:clientData/>
  </xdr:twoCellAnchor>
  <xdr:twoCellAnchor>
    <xdr:from>
      <xdr:col>0</xdr:col>
      <xdr:colOff>84667</xdr:colOff>
      <xdr:row>115</xdr:row>
      <xdr:rowOff>76200</xdr:rowOff>
    </xdr:from>
    <xdr:to>
      <xdr:col>6</xdr:col>
      <xdr:colOff>110066</xdr:colOff>
      <xdr:row>122</xdr:row>
      <xdr:rowOff>0</xdr:rowOff>
    </xdr:to>
    <xdr:sp macro="" textlink="">
      <xdr:nvSpPr>
        <xdr:cNvPr id="8" name="TextBox 7">
          <a:extLst>
            <a:ext uri="{FF2B5EF4-FFF2-40B4-BE49-F238E27FC236}">
              <a16:creationId xmlns:a16="http://schemas.microsoft.com/office/drawing/2014/main" id="{6ECFF071-C181-344C-A51E-18B28ACFC5EB}"/>
            </a:ext>
          </a:extLst>
        </xdr:cNvPr>
        <xdr:cNvSpPr txBox="1"/>
      </xdr:nvSpPr>
      <xdr:spPr>
        <a:xfrm>
          <a:off x="84667" y="25590500"/>
          <a:ext cx="7213599" cy="1968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a:t>En comparar els resultats amb els d’altres grups, s’observa que la concentració mitjana coincideix amb el valor esperat i que la desviació estàndard, tant absoluta com relativa, és acceptable. A més a més,</a:t>
          </a:r>
          <a:r>
            <a:rPr lang="en-GB" baseline="0"/>
            <a:t> no trobem cap valor anormal que ens faci sospitar d'una problema en el mètode.</a:t>
          </a:r>
          <a:endParaRPr lang="en-GB"/>
        </a:p>
        <a:p>
          <a:pPr algn="ctr"/>
          <a:endParaRPr lang="en-GB"/>
        </a:p>
        <a:p>
          <a:pPr algn="ctr"/>
          <a:r>
            <a:rPr lang="en-GB"/>
            <a:t>El resultat obtingut es troba dins de l’interval de confiança que inclou el valor indicat a l’etiqueta, cosa que permet validar els</a:t>
          </a:r>
          <a:r>
            <a:rPr lang="en-GB" baseline="0"/>
            <a:t> miligrams</a:t>
          </a:r>
          <a:r>
            <a:rPr lang="en-GB"/>
            <a:t> de ferro declarats pel fabricant.  Això demostra la tècnica d'absorció UV-Vis és un anàlisi quantitatiu prou</a:t>
          </a:r>
          <a:r>
            <a:rPr lang="en-GB" baseline="0"/>
            <a:t> estable</a:t>
          </a:r>
          <a:r>
            <a:rPr lang="en-GB"/>
            <a:t> (no mostra diferències significatives en variar dia, "ma</a:t>
          </a:r>
          <a:r>
            <a:rPr lang="en-GB" baseline="0"/>
            <a:t> d'obra", ...</a:t>
          </a:r>
          <a:r>
            <a:rPr lang="en-GB"/>
            <a:t>) precís mitjançant una metodologia senzilla i econòmica, suficient per confirmar les dades proporcionades per l’empresa.</a:t>
          </a:r>
        </a:p>
      </xdr:txBody>
    </xdr:sp>
    <xdr:clientData/>
  </xdr:twoCellAnchor>
  <xdr:twoCellAnchor>
    <xdr:from>
      <xdr:col>0</xdr:col>
      <xdr:colOff>211666</xdr:colOff>
      <xdr:row>5</xdr:row>
      <xdr:rowOff>93134</xdr:rowOff>
    </xdr:from>
    <xdr:to>
      <xdr:col>1</xdr:col>
      <xdr:colOff>831103</xdr:colOff>
      <xdr:row>6</xdr:row>
      <xdr:rowOff>186269</xdr:rowOff>
    </xdr:to>
    <xdr:sp macro="" textlink="">
      <xdr:nvSpPr>
        <xdr:cNvPr id="9" name="TextBox 8">
          <a:extLst>
            <a:ext uri="{FF2B5EF4-FFF2-40B4-BE49-F238E27FC236}">
              <a16:creationId xmlns:a16="http://schemas.microsoft.com/office/drawing/2014/main" id="{083A4398-AE0B-0B49-B8FF-1FAEF4765DEC}"/>
            </a:ext>
          </a:extLst>
        </xdr:cNvPr>
        <xdr:cNvSpPr txBox="1"/>
      </xdr:nvSpPr>
      <xdr:spPr>
        <a:xfrm>
          <a:off x="211666" y="1111002"/>
          <a:ext cx="2515099" cy="16059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t>La</a:t>
          </a:r>
          <a:r>
            <a:rPr lang="en-GB" sz="1100" baseline="0"/>
            <a:t> mostra consisteix en comprimit de la marca Centrum anomenat Multicentrum amb número de lot, </a:t>
          </a:r>
          <a:r>
            <a:rPr lang="en-GB" sz="1100"/>
            <a:t>V57K. Es tracta d'una</a:t>
          </a:r>
          <a:r>
            <a:rPr lang="en-GB" sz="1100" baseline="0"/>
            <a:t> pastilla</a:t>
          </a:r>
          <a:r>
            <a:rPr lang="en-GB" sz="1100"/>
            <a:t> de color blau de la mida d'una pasa</a:t>
          </a:r>
          <a:r>
            <a:rPr lang="en-GB" sz="1100" baseline="0"/>
            <a:t> pensada pel consum via oral. </a:t>
          </a:r>
          <a:endParaRPr lang="en-GB" sz="1100"/>
        </a:p>
      </xdr:txBody>
    </xdr:sp>
    <xdr:clientData/>
  </xdr:twoCellAnchor>
  <xdr:twoCellAnchor>
    <xdr:from>
      <xdr:col>1</xdr:col>
      <xdr:colOff>1026335</xdr:colOff>
      <xdr:row>5</xdr:row>
      <xdr:rowOff>111559</xdr:rowOff>
    </xdr:from>
    <xdr:to>
      <xdr:col>4</xdr:col>
      <xdr:colOff>522943</xdr:colOff>
      <xdr:row>7</xdr:row>
      <xdr:rowOff>43827</xdr:rowOff>
    </xdr:to>
    <xdr:sp macro="" textlink="">
      <xdr:nvSpPr>
        <xdr:cNvPr id="10" name="TextBox 9">
          <a:extLst>
            <a:ext uri="{FF2B5EF4-FFF2-40B4-BE49-F238E27FC236}">
              <a16:creationId xmlns:a16="http://schemas.microsoft.com/office/drawing/2014/main" id="{C9814365-15E2-F847-949A-72C4C4F34004}"/>
            </a:ext>
          </a:extLst>
        </xdr:cNvPr>
        <xdr:cNvSpPr txBox="1"/>
      </xdr:nvSpPr>
      <xdr:spPr>
        <a:xfrm>
          <a:off x="2921997" y="1129427"/>
          <a:ext cx="4091020" cy="16318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t>A l'etiqueta</a:t>
          </a:r>
          <a:r>
            <a:rPr lang="en-GB" sz="1100" baseline="0"/>
            <a:t> especifica els ingredients: "</a:t>
          </a:r>
          <a:r>
            <a:rPr lang="en-GB" sz="1100" i="1">
              <a:solidFill>
                <a:schemeClr val="dk1"/>
              </a:solidFill>
              <a:effectLst/>
              <a:latin typeface="+mn-lt"/>
              <a:ea typeface="+mn-ea"/>
              <a:cs typeface="+mn-cs"/>
            </a:rPr>
            <a:t>Ingredientes: Fosfato dicálcico, óxido de magnesio, incrementador</a:t>
          </a:r>
        </a:p>
        <a:p>
          <a:pPr algn="ctr"/>
          <a:r>
            <a:rPr lang="en-GB" sz="1100" i="1">
              <a:solidFill>
                <a:schemeClr val="dk1"/>
              </a:solidFill>
              <a:effectLst/>
              <a:latin typeface="+mn-lt"/>
              <a:ea typeface="+mn-ea"/>
              <a:cs typeface="+mn-cs"/>
            </a:rPr>
            <a:t>potosico, aceato DiL afa , oferi), nicolo amida, fumarato terroso,</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arpanimera de catio, oxido de zinc, surato de mangaato calcico,piridoxina clorhidrato, mononitrato de tiamina, ribotlavina, beta-caroteno, aceite vegetal (coco y palma), sulfato cúprico, acetato de retinilo, D-biotina, ácido pteroilmonoglutámico, cloruro de cromo (IlI), molibdato de sodio, yoduro potásico, seleniato sódico, filoquinona, colecalciferol, cianocobalamina, colorante (E 132)."</a:t>
          </a:r>
        </a:p>
        <a:p>
          <a:pPr algn="ctr"/>
          <a:endParaRPr lang="en-GB" sz="1100"/>
        </a:p>
      </xdr:txBody>
    </xdr:sp>
    <xdr:clientData/>
  </xdr:twoCellAnchor>
  <xdr:twoCellAnchor>
    <xdr:from>
      <xdr:col>7</xdr:col>
      <xdr:colOff>404533</xdr:colOff>
      <xdr:row>5</xdr:row>
      <xdr:rowOff>87032</xdr:rowOff>
    </xdr:from>
    <xdr:to>
      <xdr:col>9</xdr:col>
      <xdr:colOff>550956</xdr:colOff>
      <xdr:row>7</xdr:row>
      <xdr:rowOff>56030</xdr:rowOff>
    </xdr:to>
    <xdr:sp macro="" textlink="">
      <xdr:nvSpPr>
        <xdr:cNvPr id="11" name="TextBox 10">
          <a:extLst>
            <a:ext uri="{FF2B5EF4-FFF2-40B4-BE49-F238E27FC236}">
              <a16:creationId xmlns:a16="http://schemas.microsoft.com/office/drawing/2014/main" id="{34DFFA27-979E-364B-A1AF-F80471C0B9E0}"/>
            </a:ext>
          </a:extLst>
        </xdr:cNvPr>
        <xdr:cNvSpPr txBox="1"/>
      </xdr:nvSpPr>
      <xdr:spPr>
        <a:xfrm>
          <a:off x="9780121" y="1104900"/>
          <a:ext cx="2555688" cy="16685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solidFill>
                <a:schemeClr val="dk1"/>
              </a:solidFill>
              <a:effectLst/>
              <a:latin typeface="+mn-lt"/>
              <a:ea typeface="+mn-ea"/>
              <a:cs typeface="+mn-cs"/>
            </a:rPr>
            <a:t>Els minerals:</a:t>
          </a:r>
          <a:r>
            <a:rPr lang="en-GB" sz="1100" baseline="0">
              <a:solidFill>
                <a:schemeClr val="dk1"/>
              </a:solidFill>
              <a:effectLst/>
              <a:latin typeface="+mn-lt"/>
              <a:ea typeface="+mn-ea"/>
              <a:cs typeface="+mn-cs"/>
            </a:rPr>
            <a:t> "</a:t>
          </a:r>
          <a:r>
            <a:rPr lang="en-GB" sz="1100" i="1">
              <a:solidFill>
                <a:schemeClr val="dk1"/>
              </a:solidFill>
              <a:effectLst/>
              <a:latin typeface="+mn-lt"/>
              <a:ea typeface="+mn-ea"/>
              <a:cs typeface="+mn-cs"/>
            </a:rPr>
            <a:t>Calcio</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162 mg,</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Fósforo</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125 mg</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Magnesio</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100 mg,</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Hierro</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5 mg,</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Yodo</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100 mcg,</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Cobre</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0.5 mg,</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Manganeso</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2 mg,</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Cromo</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40 mcg,</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Molibdeno</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50 mcg,</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Selenio</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30 mcg,</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Zinc</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5 mg"</a:t>
          </a:r>
        </a:p>
        <a:p>
          <a:endParaRPr lang="en-GB" sz="1100"/>
        </a:p>
      </xdr:txBody>
    </xdr:sp>
    <xdr:clientData/>
  </xdr:twoCellAnchor>
  <xdr:twoCellAnchor>
    <xdr:from>
      <xdr:col>4</xdr:col>
      <xdr:colOff>670110</xdr:colOff>
      <xdr:row>5</xdr:row>
      <xdr:rowOff>92011</xdr:rowOff>
    </xdr:from>
    <xdr:to>
      <xdr:col>7</xdr:col>
      <xdr:colOff>224118</xdr:colOff>
      <xdr:row>7</xdr:row>
      <xdr:rowOff>49679</xdr:rowOff>
    </xdr:to>
    <xdr:sp macro="" textlink="">
      <xdr:nvSpPr>
        <xdr:cNvPr id="12" name="TextBox 11">
          <a:extLst>
            <a:ext uri="{FF2B5EF4-FFF2-40B4-BE49-F238E27FC236}">
              <a16:creationId xmlns:a16="http://schemas.microsoft.com/office/drawing/2014/main" id="{5D3FBDE9-A9AB-DA42-AEF6-1052D11A0C30}"/>
            </a:ext>
          </a:extLst>
        </xdr:cNvPr>
        <xdr:cNvSpPr txBox="1"/>
      </xdr:nvSpPr>
      <xdr:spPr>
        <a:xfrm>
          <a:off x="7160184" y="1109879"/>
          <a:ext cx="2439522" cy="16572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solidFill>
                <a:schemeClr val="dk1"/>
              </a:solidFill>
              <a:effectLst/>
              <a:latin typeface="+mn-lt"/>
              <a:ea typeface="+mn-ea"/>
              <a:cs typeface="+mn-cs"/>
            </a:rPr>
            <a:t>Contingut vitamínic: "</a:t>
          </a:r>
          <a:r>
            <a:rPr lang="en-GB" sz="1100" i="1">
              <a:solidFill>
                <a:schemeClr val="dk1"/>
              </a:solidFill>
              <a:effectLst/>
              <a:latin typeface="+mn-lt"/>
              <a:ea typeface="+mn-ea"/>
              <a:cs typeface="+mn-cs"/>
            </a:rPr>
            <a:t>Vitamina A (RE)</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800 mcg,</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Vitamina D</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5 mcg,</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Vitamina E (a-TE)</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15 mg,</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Vitamina K</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30 mcg,</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Vitamina C</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100 mg,</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Vitamina B1</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1.4 mg</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Vitamina B2</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1.7 mg,</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Vitamina B6</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2 mg,</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Vitamina B12</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2.5 mcg,</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Ácido Fólico</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200 mcg,</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Biotina</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62.5 mcg,</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Niacina (NE)</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20 mg,</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Ácido Pantoténico</a:t>
          </a:r>
          <a:r>
            <a:rPr lang="en-GB" sz="1100" i="1" baseline="0">
              <a:solidFill>
                <a:schemeClr val="dk1"/>
              </a:solidFill>
              <a:effectLst/>
              <a:latin typeface="+mn-lt"/>
              <a:ea typeface="+mn-ea"/>
              <a:cs typeface="+mn-cs"/>
            </a:rPr>
            <a:t> </a:t>
          </a:r>
          <a:r>
            <a:rPr lang="en-GB" sz="1100" i="1">
              <a:solidFill>
                <a:schemeClr val="dk1"/>
              </a:solidFill>
              <a:effectLst/>
              <a:latin typeface="+mn-lt"/>
              <a:ea typeface="+mn-ea"/>
              <a:cs typeface="+mn-cs"/>
            </a:rPr>
            <a:t>7.5 mg"</a:t>
          </a:r>
        </a:p>
        <a:p>
          <a:endParaRPr lang="en-GB" sz="1100"/>
        </a:p>
      </xdr:txBody>
    </xdr:sp>
    <xdr:clientData/>
  </xdr:twoCellAnchor>
  <xdr:twoCellAnchor>
    <xdr:from>
      <xdr:col>7</xdr:col>
      <xdr:colOff>276412</xdr:colOff>
      <xdr:row>106</xdr:row>
      <xdr:rowOff>82177</xdr:rowOff>
    </xdr:from>
    <xdr:to>
      <xdr:col>8</xdr:col>
      <xdr:colOff>1337235</xdr:colOff>
      <xdr:row>111</xdr:row>
      <xdr:rowOff>22412</xdr:rowOff>
    </xdr:to>
    <xdr:sp macro="" textlink="">
      <xdr:nvSpPr>
        <xdr:cNvPr id="3" name="TextBox 2">
          <a:extLst>
            <a:ext uri="{FF2B5EF4-FFF2-40B4-BE49-F238E27FC236}">
              <a16:creationId xmlns:a16="http://schemas.microsoft.com/office/drawing/2014/main" id="{B73C3939-ED9D-5588-9256-CFA7DBDE15C1}"/>
            </a:ext>
          </a:extLst>
        </xdr:cNvPr>
        <xdr:cNvSpPr txBox="1"/>
      </xdr:nvSpPr>
      <xdr:spPr>
        <a:xfrm>
          <a:off x="9652000" y="24458706"/>
          <a:ext cx="2024529" cy="9114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t>Tenim que Q_exp &lt; Q_tab i no podem descartar cap dada.</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53362</xdr:colOff>
      <xdr:row>10</xdr:row>
      <xdr:rowOff>0</xdr:rowOff>
    </xdr:from>
    <xdr:to>
      <xdr:col>3</xdr:col>
      <xdr:colOff>1215376</xdr:colOff>
      <xdr:row>22</xdr:row>
      <xdr:rowOff>64034</xdr:rowOff>
    </xdr:to>
    <mc:AlternateContent xmlns:mc="http://schemas.openxmlformats.org/markup-compatibility/2006">
      <mc:Choice xmlns:a14="http://schemas.microsoft.com/office/drawing/2010/main" Requires="a14">
        <xdr:sp macro="" textlink="">
          <xdr:nvSpPr>
            <xdr:cNvPr id="2" name="CuadroTexto 2">
              <a:extLst>
                <a:ext uri="{FF2B5EF4-FFF2-40B4-BE49-F238E27FC236}">
                  <a16:creationId xmlns:a16="http://schemas.microsoft.com/office/drawing/2014/main" id="{BBFA22E7-3A23-49BD-B84C-1FABBF8D7BB7}"/>
                </a:ext>
              </a:extLst>
            </xdr:cNvPr>
            <xdr:cNvSpPr txBox="1"/>
          </xdr:nvSpPr>
          <xdr:spPr>
            <a:xfrm>
              <a:off x="53362" y="5161935"/>
              <a:ext cx="7989971" cy="32048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a-ES" sz="1100" b="1"/>
                <a:t>Dades</a:t>
              </a:r>
            </a:p>
            <a:p>
              <a:r>
                <a:rPr lang="ca-ES" sz="1100"/>
                <a:t>PM Mg:</a:t>
              </a:r>
              <a:r>
                <a:rPr lang="ca-ES" sz="1100" baseline="0"/>
                <a:t> 54.94 g/mol</a:t>
              </a:r>
            </a:p>
            <a:p>
              <a:r>
                <a:rPr lang="ca-ES" sz="1100" baseline="0"/>
                <a:t>PM MgSO4: 169.02g/mol</a:t>
              </a:r>
            </a:p>
            <a:p>
              <a:r>
                <a:rPr lang="ca-ES" sz="1100" b="1" baseline="0"/>
                <a:t>Càlculs</a:t>
              </a:r>
            </a:p>
            <a:p>
              <a:pPr marL="0" marR="0" lvl="0" indent="0" defTabSz="914400" eaLnBrk="1" fontAlgn="auto" latinLnBrk="0" hangingPunct="1">
                <a:lnSpc>
                  <a:spcPct val="100000"/>
                </a:lnSpc>
                <a:spcBef>
                  <a:spcPts val="0"/>
                </a:spcBef>
                <a:spcAft>
                  <a:spcPts val="0"/>
                </a:spcAft>
                <a:buClrTx/>
                <a:buSzTx/>
                <a:buFontTx/>
                <a:buNone/>
                <a:tabLst/>
                <a:defRPr/>
              </a:pPr>
              <a:r>
                <a:rPr lang="ca-ES" sz="1100" u="sng"/>
                <a:t>Primera dissolució de 100 ppm</a:t>
              </a:r>
            </a:p>
            <a:p>
              <a:endParaRPr lang="ca-ES" sz="1100" b="1"/>
            </a:p>
            <a:p>
              <a:pPr/>
              <a14:m>
                <m:oMathPara xmlns:m="http://schemas.openxmlformats.org/officeDocument/2006/math">
                  <m:oMathParaPr>
                    <m:jc m:val="centerGroup"/>
                  </m:oMathParaPr>
                  <m:oMath xmlns:m="http://schemas.openxmlformats.org/officeDocument/2006/math">
                    <m:r>
                      <a:rPr lang="ca-ES" sz="1100" b="0" i="1">
                        <a:latin typeface="Cambria Math" panose="02040503050406030204" pitchFamily="18" charset="0"/>
                      </a:rPr>
                      <m:t>0</m:t>
                    </m:r>
                    <m:r>
                      <a:rPr lang="es-ES" sz="1100" b="0" i="1">
                        <a:latin typeface="Cambria Math" panose="02040503050406030204" pitchFamily="18" charset="0"/>
                      </a:rPr>
                      <m:t>.1665</m:t>
                    </m:r>
                    <m:r>
                      <a:rPr lang="ca-ES" sz="1100" b="0" i="1">
                        <a:latin typeface="Cambria Math" panose="02040503050406030204" pitchFamily="18" charset="0"/>
                      </a:rPr>
                      <m:t> </m:t>
                    </m:r>
                    <m:r>
                      <a:rPr lang="ca-ES" sz="1100" b="1" i="1">
                        <a:latin typeface="Cambria Math" panose="02040503050406030204" pitchFamily="18" charset="0"/>
                      </a:rPr>
                      <m:t>𝒎𝒈</m:t>
                    </m:r>
                    <m:r>
                      <a:rPr lang="ca-ES" sz="1100" b="0" i="1">
                        <a:latin typeface="Cambria Math" panose="02040503050406030204" pitchFamily="18" charset="0"/>
                      </a:rPr>
                      <m:t> </m:t>
                    </m:r>
                    <m:r>
                      <a:rPr lang="ca-ES" sz="1100" b="0" i="1">
                        <a:latin typeface="Cambria Math" panose="02040503050406030204" pitchFamily="18" charset="0"/>
                      </a:rPr>
                      <m:t>𝑀𝑛𝑆</m:t>
                    </m:r>
                    <m:sSub>
                      <m:sSubPr>
                        <m:ctrlPr>
                          <a:rPr lang="ca-ES" sz="1100" b="0" i="1">
                            <a:latin typeface="Cambria Math" panose="02040503050406030204" pitchFamily="18" charset="0"/>
                          </a:rPr>
                        </m:ctrlPr>
                      </m:sSubPr>
                      <m:e>
                        <m:r>
                          <a:rPr lang="ca-ES" sz="1100" b="0" i="1">
                            <a:latin typeface="Cambria Math" panose="02040503050406030204" pitchFamily="18" charset="0"/>
                          </a:rPr>
                          <m:t>𝑂</m:t>
                        </m:r>
                      </m:e>
                      <m:sub>
                        <m:r>
                          <a:rPr lang="ca-ES" sz="1100" b="0" i="1">
                            <a:latin typeface="Cambria Math" panose="02040503050406030204" pitchFamily="18" charset="0"/>
                          </a:rPr>
                          <m:t>4</m:t>
                        </m:r>
                      </m:sub>
                    </m:sSub>
                    <m:r>
                      <a:rPr lang="ca-ES" sz="1100" b="0" i="1">
                        <a:latin typeface="Cambria Math" panose="02040503050406030204" pitchFamily="18" charset="0"/>
                      </a:rPr>
                      <m:t>·</m:t>
                    </m:r>
                    <m:f>
                      <m:fPr>
                        <m:ctrlPr>
                          <a:rPr lang="ca-ES" sz="1100" b="0" i="1">
                            <a:latin typeface="Cambria Math" panose="02040503050406030204" pitchFamily="18" charset="0"/>
                          </a:rPr>
                        </m:ctrlPr>
                      </m:fPr>
                      <m:num>
                        <m:r>
                          <a:rPr lang="ca-ES" sz="1100" b="0" i="1">
                            <a:latin typeface="Cambria Math" panose="02040503050406030204" pitchFamily="18" charset="0"/>
                          </a:rPr>
                          <m:t>1 </m:t>
                        </m:r>
                        <m:r>
                          <a:rPr lang="ca-ES" sz="1100" b="0" i="1">
                            <a:latin typeface="Cambria Math" panose="02040503050406030204" pitchFamily="18" charset="0"/>
                          </a:rPr>
                          <m:t>𝑚𝑜𝑙</m:t>
                        </m:r>
                        <m:r>
                          <a:rPr lang="ca-ES" sz="1100" b="0" i="1">
                            <a:latin typeface="Cambria Math" panose="02040503050406030204" pitchFamily="18" charset="0"/>
                          </a:rPr>
                          <m:t> </m:t>
                        </m:r>
                        <m:r>
                          <a:rPr lang="ca-ES" sz="1100" b="0" i="1">
                            <a:latin typeface="Cambria Math" panose="02040503050406030204" pitchFamily="18" charset="0"/>
                          </a:rPr>
                          <m:t>𝑀𝑛𝑆</m:t>
                        </m:r>
                        <m:sSub>
                          <m:sSubPr>
                            <m:ctrlPr>
                              <a:rPr lang="ca-ES" sz="1100" b="0" i="1">
                                <a:latin typeface="Cambria Math" panose="02040503050406030204" pitchFamily="18" charset="0"/>
                              </a:rPr>
                            </m:ctrlPr>
                          </m:sSubPr>
                          <m:e>
                            <m:r>
                              <a:rPr lang="ca-ES" sz="1100" b="0" i="1">
                                <a:latin typeface="Cambria Math" panose="02040503050406030204" pitchFamily="18" charset="0"/>
                              </a:rPr>
                              <m:t>𝑂</m:t>
                            </m:r>
                          </m:e>
                          <m:sub>
                            <m:r>
                              <a:rPr lang="ca-ES" sz="1100" b="0" i="1">
                                <a:latin typeface="Cambria Math" panose="02040503050406030204" pitchFamily="18" charset="0"/>
                              </a:rPr>
                              <m:t>4</m:t>
                            </m:r>
                          </m:sub>
                        </m:sSub>
                      </m:num>
                      <m:den>
                        <m:r>
                          <a:rPr lang="ca-ES" sz="1100" b="0" i="1">
                            <a:latin typeface="Cambria Math" panose="02040503050406030204" pitchFamily="18" charset="0"/>
                          </a:rPr>
                          <m:t>169.02 </m:t>
                        </m:r>
                        <m:r>
                          <a:rPr lang="ca-ES" sz="1100" b="0" i="1">
                            <a:latin typeface="Cambria Math" panose="02040503050406030204" pitchFamily="18" charset="0"/>
                          </a:rPr>
                          <m:t>𝑔</m:t>
                        </m:r>
                        <m:r>
                          <a:rPr lang="ca-ES" sz="1100" b="0" i="1">
                            <a:latin typeface="Cambria Math" panose="02040503050406030204" pitchFamily="18" charset="0"/>
                          </a:rPr>
                          <m:t> </m:t>
                        </m:r>
                        <m:r>
                          <a:rPr lang="ca-ES" sz="1100" b="0" i="1">
                            <a:latin typeface="Cambria Math" panose="02040503050406030204" pitchFamily="18" charset="0"/>
                          </a:rPr>
                          <m:t>𝑀𝑛𝑆</m:t>
                        </m:r>
                        <m:sSub>
                          <m:sSubPr>
                            <m:ctrlPr>
                              <a:rPr lang="ca-ES" sz="1100" b="0" i="1">
                                <a:latin typeface="Cambria Math" panose="02040503050406030204" pitchFamily="18" charset="0"/>
                              </a:rPr>
                            </m:ctrlPr>
                          </m:sSubPr>
                          <m:e>
                            <m:r>
                              <a:rPr lang="ca-ES" sz="1100" b="0" i="1">
                                <a:latin typeface="Cambria Math" panose="02040503050406030204" pitchFamily="18" charset="0"/>
                              </a:rPr>
                              <m:t>𝑂</m:t>
                            </m:r>
                          </m:e>
                          <m:sub>
                            <m:r>
                              <a:rPr lang="ca-ES" sz="1100" b="0" i="1">
                                <a:latin typeface="Cambria Math" panose="02040503050406030204" pitchFamily="18" charset="0"/>
                              </a:rPr>
                              <m:t>4</m:t>
                            </m:r>
                          </m:sub>
                        </m:sSub>
                      </m:den>
                    </m:f>
                    <m:r>
                      <a:rPr lang="ca-ES" sz="1100" b="0" i="1">
                        <a:latin typeface="Cambria Math" panose="02040503050406030204" pitchFamily="18" charset="0"/>
                      </a:rPr>
                      <m:t>·</m:t>
                    </m:r>
                    <m:f>
                      <m:fPr>
                        <m:ctrlPr>
                          <a:rPr lang="ca-ES" sz="1100" b="0" i="1">
                            <a:latin typeface="Cambria Math" panose="02040503050406030204" pitchFamily="18" charset="0"/>
                          </a:rPr>
                        </m:ctrlPr>
                      </m:fPr>
                      <m:num>
                        <m:r>
                          <a:rPr lang="ca-ES" sz="1100" b="0" i="1">
                            <a:latin typeface="Cambria Math" panose="02040503050406030204" pitchFamily="18" charset="0"/>
                          </a:rPr>
                          <m:t>1 </m:t>
                        </m:r>
                        <m:r>
                          <a:rPr lang="ca-ES" sz="1100" b="0" i="1">
                            <a:latin typeface="Cambria Math" panose="02040503050406030204" pitchFamily="18" charset="0"/>
                          </a:rPr>
                          <m:t>𝑚𝑜𝑙</m:t>
                        </m:r>
                        <m:r>
                          <a:rPr lang="ca-ES" sz="1100" b="0" i="1">
                            <a:latin typeface="Cambria Math" panose="02040503050406030204" pitchFamily="18" charset="0"/>
                          </a:rPr>
                          <m:t> </m:t>
                        </m:r>
                        <m:r>
                          <a:rPr lang="ca-ES" sz="1100" b="0" i="1">
                            <a:latin typeface="Cambria Math" panose="02040503050406030204" pitchFamily="18" charset="0"/>
                          </a:rPr>
                          <m:t>𝑀</m:t>
                        </m:r>
                        <m:sSup>
                          <m:sSupPr>
                            <m:ctrlPr>
                              <a:rPr lang="ca-ES" sz="1100" b="0" i="1">
                                <a:latin typeface="Cambria Math" panose="02040503050406030204" pitchFamily="18" charset="0"/>
                              </a:rPr>
                            </m:ctrlPr>
                          </m:sSupPr>
                          <m:e>
                            <m:r>
                              <a:rPr lang="ca-ES" sz="1100" b="0" i="1">
                                <a:latin typeface="Cambria Math" panose="02040503050406030204" pitchFamily="18" charset="0"/>
                              </a:rPr>
                              <m:t>𝑛</m:t>
                            </m:r>
                          </m:e>
                          <m:sup>
                            <m:r>
                              <a:rPr lang="ca-ES" sz="1100" b="0" i="1">
                                <a:latin typeface="Cambria Math" panose="02040503050406030204" pitchFamily="18" charset="0"/>
                              </a:rPr>
                              <m:t>2+</m:t>
                            </m:r>
                          </m:sup>
                        </m:sSup>
                      </m:num>
                      <m:den>
                        <m:r>
                          <a:rPr lang="ca-ES" sz="1100" b="0" i="1">
                            <a:latin typeface="Cambria Math" panose="02040503050406030204" pitchFamily="18" charset="0"/>
                          </a:rPr>
                          <m:t>1 </m:t>
                        </m:r>
                        <m:r>
                          <a:rPr lang="ca-ES" sz="1100" b="0" i="1">
                            <a:latin typeface="Cambria Math" panose="02040503050406030204" pitchFamily="18" charset="0"/>
                          </a:rPr>
                          <m:t>𝑚𝑜𝑙</m:t>
                        </m:r>
                        <m:r>
                          <a:rPr lang="ca-ES" sz="1100" b="0" i="1">
                            <a:latin typeface="Cambria Math" panose="02040503050406030204" pitchFamily="18" charset="0"/>
                          </a:rPr>
                          <m:t> </m:t>
                        </m:r>
                        <m:r>
                          <a:rPr lang="ca-ES" sz="1100" b="0" i="1">
                            <a:latin typeface="Cambria Math" panose="02040503050406030204" pitchFamily="18" charset="0"/>
                          </a:rPr>
                          <m:t>𝑀𝑛𝑆</m:t>
                        </m:r>
                        <m:sSub>
                          <m:sSubPr>
                            <m:ctrlPr>
                              <a:rPr lang="ca-ES" sz="1100" b="0" i="1">
                                <a:latin typeface="Cambria Math" panose="02040503050406030204" pitchFamily="18" charset="0"/>
                              </a:rPr>
                            </m:ctrlPr>
                          </m:sSubPr>
                          <m:e>
                            <m:r>
                              <a:rPr lang="ca-ES" sz="1100" b="0" i="1">
                                <a:latin typeface="Cambria Math" panose="02040503050406030204" pitchFamily="18" charset="0"/>
                              </a:rPr>
                              <m:t>𝑂</m:t>
                            </m:r>
                          </m:e>
                          <m:sub>
                            <m:r>
                              <a:rPr lang="ca-ES" sz="1100" b="0" i="1">
                                <a:latin typeface="Cambria Math" panose="02040503050406030204" pitchFamily="18" charset="0"/>
                              </a:rPr>
                              <m:t>4</m:t>
                            </m:r>
                          </m:sub>
                        </m:sSub>
                      </m:den>
                    </m:f>
                    <m:r>
                      <a:rPr lang="ca-ES" sz="1100" b="0" i="1">
                        <a:latin typeface="Cambria Math" panose="02040503050406030204" pitchFamily="18" charset="0"/>
                      </a:rPr>
                      <m:t>·</m:t>
                    </m:r>
                    <m:f>
                      <m:fPr>
                        <m:ctrlPr>
                          <a:rPr lang="ca-ES" sz="1100" b="0" i="1">
                            <a:latin typeface="Cambria Math" panose="02040503050406030204" pitchFamily="18" charset="0"/>
                          </a:rPr>
                        </m:ctrlPr>
                      </m:fPr>
                      <m:num>
                        <m:r>
                          <a:rPr lang="ca-ES" sz="1100" b="0" i="1">
                            <a:latin typeface="Cambria Math" panose="02040503050406030204" pitchFamily="18" charset="0"/>
                          </a:rPr>
                          <m:t>54.9380 </m:t>
                        </m:r>
                        <m:r>
                          <a:rPr lang="ca-ES" sz="1100" b="0" i="1">
                            <a:latin typeface="Cambria Math" panose="02040503050406030204" pitchFamily="18" charset="0"/>
                          </a:rPr>
                          <m:t>𝑔</m:t>
                        </m:r>
                        <m:r>
                          <a:rPr lang="ca-ES" sz="1100" b="0" i="1">
                            <a:latin typeface="Cambria Math" panose="02040503050406030204" pitchFamily="18" charset="0"/>
                          </a:rPr>
                          <m:t> </m:t>
                        </m:r>
                        <m:r>
                          <a:rPr lang="ca-ES" sz="1100" b="1" i="1">
                            <a:latin typeface="Cambria Math" panose="02040503050406030204" pitchFamily="18" charset="0"/>
                          </a:rPr>
                          <m:t>𝑴</m:t>
                        </m:r>
                        <m:sSup>
                          <m:sSupPr>
                            <m:ctrlPr>
                              <a:rPr lang="ca-ES" sz="1100" b="1" i="1">
                                <a:latin typeface="Cambria Math" panose="02040503050406030204" pitchFamily="18" charset="0"/>
                              </a:rPr>
                            </m:ctrlPr>
                          </m:sSupPr>
                          <m:e>
                            <m:r>
                              <a:rPr lang="ca-ES" sz="1100" b="1" i="1">
                                <a:latin typeface="Cambria Math" panose="02040503050406030204" pitchFamily="18" charset="0"/>
                              </a:rPr>
                              <m:t>𝒏</m:t>
                            </m:r>
                          </m:e>
                          <m:sup>
                            <m:r>
                              <a:rPr lang="ca-ES" sz="1100" b="1" i="1">
                                <a:latin typeface="Cambria Math" panose="02040503050406030204" pitchFamily="18" charset="0"/>
                              </a:rPr>
                              <m:t>𝟐</m:t>
                            </m:r>
                            <m:r>
                              <a:rPr lang="ca-ES" sz="1100" b="1" i="1">
                                <a:latin typeface="Cambria Math" panose="02040503050406030204" pitchFamily="18" charset="0"/>
                              </a:rPr>
                              <m:t>+</m:t>
                            </m:r>
                          </m:sup>
                        </m:sSup>
                      </m:num>
                      <m:den>
                        <m:r>
                          <a:rPr lang="ca-ES" sz="1100" b="0" i="1">
                            <a:latin typeface="Cambria Math" panose="02040503050406030204" pitchFamily="18" charset="0"/>
                          </a:rPr>
                          <m:t>1 </m:t>
                        </m:r>
                        <m:r>
                          <a:rPr lang="ca-ES" sz="1100" b="0" i="1">
                            <a:latin typeface="Cambria Math" panose="02040503050406030204" pitchFamily="18" charset="0"/>
                          </a:rPr>
                          <m:t>𝑚𝑜𝑙</m:t>
                        </m:r>
                        <m:r>
                          <a:rPr lang="ca-ES" sz="1100" b="0" i="1">
                            <a:latin typeface="Cambria Math" panose="02040503050406030204" pitchFamily="18" charset="0"/>
                          </a:rPr>
                          <m:t> </m:t>
                        </m:r>
                        <m:r>
                          <a:rPr lang="ca-ES" sz="1100" b="0" i="1">
                            <a:latin typeface="Cambria Math" panose="02040503050406030204" pitchFamily="18" charset="0"/>
                          </a:rPr>
                          <m:t>𝑀</m:t>
                        </m:r>
                        <m:sSup>
                          <m:sSupPr>
                            <m:ctrlPr>
                              <a:rPr lang="ca-ES" sz="1100" b="0" i="1">
                                <a:latin typeface="Cambria Math" panose="02040503050406030204" pitchFamily="18" charset="0"/>
                              </a:rPr>
                            </m:ctrlPr>
                          </m:sSupPr>
                          <m:e>
                            <m:r>
                              <a:rPr lang="ca-ES" sz="1100" b="0" i="1">
                                <a:latin typeface="Cambria Math" panose="02040503050406030204" pitchFamily="18" charset="0"/>
                              </a:rPr>
                              <m:t>𝑛</m:t>
                            </m:r>
                          </m:e>
                          <m:sup>
                            <m:r>
                              <a:rPr lang="ca-ES" sz="1100" b="0" i="1">
                                <a:latin typeface="Cambria Math" panose="02040503050406030204" pitchFamily="18" charset="0"/>
                              </a:rPr>
                              <m:t>2+</m:t>
                            </m:r>
                          </m:sup>
                        </m:sSup>
                      </m:den>
                    </m:f>
                    <m:r>
                      <a:rPr lang="es-ES" sz="1100" b="0" i="1">
                        <a:latin typeface="Cambria Math" panose="02040503050406030204" pitchFamily="18" charset="0"/>
                      </a:rPr>
                      <m:t>⋅</m:t>
                    </m:r>
                    <m:f>
                      <m:fPr>
                        <m:ctrlPr>
                          <a:rPr lang="es-ES" sz="1100" b="0" i="1">
                            <a:latin typeface="Cambria Math" panose="02040503050406030204" pitchFamily="18" charset="0"/>
                          </a:rPr>
                        </m:ctrlPr>
                      </m:fPr>
                      <m:num>
                        <m:sSup>
                          <m:sSupPr>
                            <m:ctrlPr>
                              <a:rPr lang="es-ES" sz="1100" b="0" i="1">
                                <a:latin typeface="Cambria Math" panose="02040503050406030204" pitchFamily="18" charset="0"/>
                              </a:rPr>
                            </m:ctrlPr>
                          </m:sSupPr>
                          <m:e>
                            <m:r>
                              <a:rPr lang="es-ES" sz="1100" b="0" i="1">
                                <a:latin typeface="Cambria Math" panose="02040503050406030204" pitchFamily="18" charset="0"/>
                              </a:rPr>
                              <m:t>10</m:t>
                            </m:r>
                          </m:e>
                          <m:sup>
                            <m:r>
                              <a:rPr lang="es-ES" sz="1100" b="0" i="1">
                                <a:latin typeface="Cambria Math" panose="02040503050406030204" pitchFamily="18" charset="0"/>
                              </a:rPr>
                              <m:t>3</m:t>
                            </m:r>
                          </m:sup>
                        </m:sSup>
                        <m:r>
                          <a:rPr lang="es-ES" sz="1100" b="0" i="1">
                            <a:latin typeface="Cambria Math" panose="02040503050406030204" pitchFamily="18" charset="0"/>
                          </a:rPr>
                          <m:t>𝑚𝑔</m:t>
                        </m:r>
                      </m:num>
                      <m:den>
                        <m:r>
                          <a:rPr lang="es-ES" sz="1100" b="0" i="1">
                            <a:latin typeface="Cambria Math" panose="02040503050406030204" pitchFamily="18" charset="0"/>
                          </a:rPr>
                          <m:t>1</m:t>
                        </m:r>
                        <m:r>
                          <a:rPr lang="es-ES" sz="1100" b="0" i="1">
                            <a:latin typeface="Cambria Math" panose="02040503050406030204" pitchFamily="18" charset="0"/>
                          </a:rPr>
                          <m:t>𝑔</m:t>
                        </m:r>
                      </m:den>
                    </m:f>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1</m:t>
                        </m:r>
                      </m:num>
                      <m:den>
                        <m:r>
                          <a:rPr lang="es-ES" sz="1100" b="0" i="1">
                            <a:latin typeface="Cambria Math" panose="02040503050406030204" pitchFamily="18" charset="0"/>
                          </a:rPr>
                          <m:t>500</m:t>
                        </m:r>
                        <m:r>
                          <a:rPr lang="es-ES" sz="1100" b="0" i="1">
                            <a:latin typeface="Cambria Math" panose="02040503050406030204" pitchFamily="18" charset="0"/>
                          </a:rPr>
                          <m:t>𝑚𝐿</m:t>
                        </m:r>
                      </m:den>
                    </m:f>
                    <m:r>
                      <a:rPr lang="es-ES" sz="1100" b="0" i="1">
                        <a:latin typeface="Cambria Math" panose="02040503050406030204" pitchFamily="18" charset="0"/>
                      </a:rPr>
                      <m:t>⋅</m:t>
                    </m:r>
                    <m:f>
                      <m:fPr>
                        <m:ctrlPr>
                          <a:rPr lang="es-ES" sz="1100" b="0" i="1">
                            <a:latin typeface="Cambria Math" panose="02040503050406030204" pitchFamily="18" charset="0"/>
                          </a:rPr>
                        </m:ctrlPr>
                      </m:fPr>
                      <m:num>
                        <m:sSup>
                          <m:sSupPr>
                            <m:ctrlPr>
                              <a:rPr lang="es-ES" sz="1100" b="0" i="1">
                                <a:latin typeface="Cambria Math" panose="02040503050406030204" pitchFamily="18" charset="0"/>
                              </a:rPr>
                            </m:ctrlPr>
                          </m:sSupPr>
                          <m:e>
                            <m:r>
                              <a:rPr lang="es-ES" sz="1100" b="0" i="1">
                                <a:latin typeface="Cambria Math" panose="02040503050406030204" pitchFamily="18" charset="0"/>
                              </a:rPr>
                              <m:t>10</m:t>
                            </m:r>
                          </m:e>
                          <m:sup>
                            <m:r>
                              <a:rPr lang="es-ES" sz="1100" b="0" i="1">
                                <a:latin typeface="Cambria Math" panose="02040503050406030204" pitchFamily="18" charset="0"/>
                              </a:rPr>
                              <m:t>3</m:t>
                            </m:r>
                          </m:sup>
                        </m:sSup>
                        <m:r>
                          <a:rPr lang="es-ES" sz="1100" b="0" i="1">
                            <a:latin typeface="Cambria Math" panose="02040503050406030204" pitchFamily="18" charset="0"/>
                          </a:rPr>
                          <m:t>𝑚𝐿</m:t>
                        </m:r>
                      </m:num>
                      <m:den>
                        <m:r>
                          <a:rPr lang="es-ES" sz="1100" b="0" i="1">
                            <a:latin typeface="Cambria Math" panose="02040503050406030204" pitchFamily="18" charset="0"/>
                          </a:rPr>
                          <m:t>1</m:t>
                        </m:r>
                        <m:r>
                          <a:rPr lang="es-ES" sz="1100" b="0" i="1">
                            <a:latin typeface="Cambria Math" panose="02040503050406030204" pitchFamily="18" charset="0"/>
                          </a:rPr>
                          <m:t>𝐿</m:t>
                        </m:r>
                      </m:den>
                    </m:f>
                    <m:r>
                      <a:rPr lang="es-ES" sz="1100" b="0" i="1">
                        <a:latin typeface="Cambria Math" panose="02040503050406030204" pitchFamily="18" charset="0"/>
                      </a:rPr>
                      <m:t>=108.2</m:t>
                    </m:r>
                    <m:r>
                      <a:rPr lang="es-ES" sz="1100" b="0" i="1">
                        <a:latin typeface="Cambria Math" panose="02040503050406030204" pitchFamily="18" charset="0"/>
                      </a:rPr>
                      <m:t>𝑝𝑝𝑚</m:t>
                    </m:r>
                    <m:r>
                      <a:rPr lang="es-ES" sz="1100" b="0" i="1">
                        <a:latin typeface="Cambria Math" panose="02040503050406030204" pitchFamily="18" charset="0"/>
                      </a:rPr>
                      <m:t> </m:t>
                    </m:r>
                    <m:r>
                      <a:rPr lang="ca-ES" sz="1100" b="0" i="1">
                        <a:solidFill>
                          <a:schemeClr val="dk1"/>
                        </a:solidFill>
                        <a:effectLst/>
                        <a:latin typeface="Cambria Math" panose="02040503050406030204" pitchFamily="18" charset="0"/>
                        <a:ea typeface="+mn-ea"/>
                        <a:cs typeface="+mn-cs"/>
                      </a:rPr>
                      <m:t>𝑀</m:t>
                    </m:r>
                    <m:sSup>
                      <m:sSupPr>
                        <m:ctrlPr>
                          <a:rPr lang="ca-ES" sz="1100" b="0" i="1">
                            <a:solidFill>
                              <a:schemeClr val="dk1"/>
                            </a:solidFill>
                            <a:effectLst/>
                            <a:latin typeface="Cambria Math" panose="02040503050406030204" pitchFamily="18" charset="0"/>
                            <a:ea typeface="+mn-ea"/>
                            <a:cs typeface="+mn-cs"/>
                          </a:rPr>
                        </m:ctrlPr>
                      </m:sSupPr>
                      <m:e>
                        <m:r>
                          <a:rPr lang="ca-ES" sz="1100" b="0" i="1">
                            <a:solidFill>
                              <a:schemeClr val="dk1"/>
                            </a:solidFill>
                            <a:effectLst/>
                            <a:latin typeface="Cambria Math" panose="02040503050406030204" pitchFamily="18" charset="0"/>
                            <a:ea typeface="+mn-ea"/>
                            <a:cs typeface="+mn-cs"/>
                          </a:rPr>
                          <m:t>𝑛</m:t>
                        </m:r>
                      </m:e>
                      <m:sup>
                        <m:r>
                          <a:rPr lang="ca-ES" sz="1100" b="0" i="1">
                            <a:solidFill>
                              <a:schemeClr val="dk1"/>
                            </a:solidFill>
                            <a:effectLst/>
                            <a:latin typeface="Cambria Math" panose="02040503050406030204" pitchFamily="18" charset="0"/>
                            <a:ea typeface="+mn-ea"/>
                            <a:cs typeface="+mn-cs"/>
                          </a:rPr>
                          <m:t>2+</m:t>
                        </m:r>
                      </m:sup>
                    </m:sSup>
                  </m:oMath>
                </m:oMathPara>
              </a14:m>
              <a:endParaRPr lang="ca-ES" sz="1100"/>
            </a:p>
            <a:p>
              <a:pPr marL="0" marR="0" lvl="0" indent="0" defTabSz="914400" eaLnBrk="1" fontAlgn="auto" latinLnBrk="0" hangingPunct="1">
                <a:lnSpc>
                  <a:spcPct val="100000"/>
                </a:lnSpc>
                <a:spcBef>
                  <a:spcPts val="0"/>
                </a:spcBef>
                <a:spcAft>
                  <a:spcPts val="0"/>
                </a:spcAft>
                <a:buClrTx/>
                <a:buSzTx/>
                <a:buFontTx/>
                <a:buNone/>
                <a:tabLst/>
                <a:defRPr/>
              </a:pPr>
              <a:endParaRPr lang="ca-ES" sz="1100" u="sng"/>
            </a:p>
            <a:p>
              <a:r>
                <a:rPr lang="ca-ES" sz="1100" u="sng"/>
                <a:t>Dilució de 10 ppm (Dissolució de treball)</a:t>
              </a:r>
            </a:p>
            <a:p>
              <a:endParaRPr lang="ca-ES" sz="1100" u="sng"/>
            </a:p>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f>
                      <m:fPr>
                        <m:ctrlPr>
                          <a:rPr lang="ca-ES" sz="1100" b="0" i="1">
                            <a:solidFill>
                              <a:schemeClr val="dk1"/>
                            </a:solidFill>
                            <a:effectLst/>
                            <a:latin typeface="Cambria Math" panose="02040503050406030204" pitchFamily="18" charset="0"/>
                            <a:ea typeface="+mn-ea"/>
                            <a:cs typeface="+mn-cs"/>
                          </a:rPr>
                        </m:ctrlPr>
                      </m:fPr>
                      <m:num>
                        <m:r>
                          <a:rPr lang="es-ES" sz="1100" b="0" i="1">
                            <a:solidFill>
                              <a:schemeClr val="dk1"/>
                            </a:solidFill>
                            <a:effectLst/>
                            <a:latin typeface="Cambria Math" panose="02040503050406030204" pitchFamily="18" charset="0"/>
                            <a:ea typeface="+mn-ea"/>
                            <a:cs typeface="+mn-cs"/>
                          </a:rPr>
                          <m:t>50</m:t>
                        </m:r>
                        <m:r>
                          <a:rPr lang="ca-ES" sz="1100" b="0" i="1">
                            <a:solidFill>
                              <a:schemeClr val="dk1"/>
                            </a:solidFill>
                            <a:effectLst/>
                            <a:latin typeface="Cambria Math" panose="02040503050406030204" pitchFamily="18" charset="0"/>
                            <a:ea typeface="+mn-ea"/>
                            <a:cs typeface="+mn-cs"/>
                          </a:rPr>
                          <m:t>.0 </m:t>
                        </m:r>
                        <m:r>
                          <a:rPr lang="ca-ES" sz="1100" b="0" i="1">
                            <a:solidFill>
                              <a:schemeClr val="dk1"/>
                            </a:solidFill>
                            <a:effectLst/>
                            <a:latin typeface="Cambria Math" panose="02040503050406030204" pitchFamily="18" charset="0"/>
                            <a:ea typeface="+mn-ea"/>
                            <a:cs typeface="+mn-cs"/>
                          </a:rPr>
                          <m:t>𝑚𝐿</m:t>
                        </m:r>
                        <m:r>
                          <a:rPr lang="ca-ES" sz="1100" b="0" i="1">
                            <a:solidFill>
                              <a:schemeClr val="dk1"/>
                            </a:solidFill>
                            <a:effectLst/>
                            <a:latin typeface="Cambria Math" panose="02040503050406030204" pitchFamily="18" charset="0"/>
                            <a:ea typeface="+mn-ea"/>
                            <a:cs typeface="+mn-cs"/>
                          </a:rPr>
                          <m:t>·108.2 </m:t>
                        </m:r>
                        <m:r>
                          <a:rPr lang="ca-ES" sz="1100" b="0" i="1">
                            <a:solidFill>
                              <a:schemeClr val="dk1"/>
                            </a:solidFill>
                            <a:effectLst/>
                            <a:latin typeface="Cambria Math" panose="02040503050406030204" pitchFamily="18" charset="0"/>
                            <a:ea typeface="+mn-ea"/>
                            <a:cs typeface="+mn-cs"/>
                          </a:rPr>
                          <m:t>𝑝𝑚</m:t>
                        </m:r>
                        <m:r>
                          <a:rPr lang="ca-ES" sz="1100" b="0" i="1">
                            <a:solidFill>
                              <a:schemeClr val="dk1"/>
                            </a:solidFill>
                            <a:effectLst/>
                            <a:latin typeface="Cambria Math" panose="02040503050406030204" pitchFamily="18" charset="0"/>
                            <a:ea typeface="+mn-ea"/>
                            <a:cs typeface="+mn-cs"/>
                          </a:rPr>
                          <m:t> </m:t>
                        </m:r>
                        <m:r>
                          <a:rPr lang="ca-ES" sz="1100" b="0" i="1">
                            <a:solidFill>
                              <a:schemeClr val="dk1"/>
                            </a:solidFill>
                            <a:effectLst/>
                            <a:latin typeface="Cambria Math" panose="02040503050406030204" pitchFamily="18" charset="0"/>
                            <a:ea typeface="+mn-ea"/>
                            <a:cs typeface="+mn-cs"/>
                          </a:rPr>
                          <m:t>𝑀</m:t>
                        </m:r>
                        <m:sSup>
                          <m:sSupPr>
                            <m:ctrlPr>
                              <a:rPr lang="ca-ES" sz="1100" b="0" i="1">
                                <a:solidFill>
                                  <a:schemeClr val="dk1"/>
                                </a:solidFill>
                                <a:effectLst/>
                                <a:latin typeface="Cambria Math" panose="02040503050406030204" pitchFamily="18" charset="0"/>
                                <a:ea typeface="+mn-ea"/>
                                <a:cs typeface="+mn-cs"/>
                              </a:rPr>
                            </m:ctrlPr>
                          </m:sSupPr>
                          <m:e>
                            <m:r>
                              <a:rPr lang="ca-ES" sz="1100" b="0" i="1">
                                <a:solidFill>
                                  <a:schemeClr val="dk1"/>
                                </a:solidFill>
                                <a:effectLst/>
                                <a:latin typeface="Cambria Math" panose="02040503050406030204" pitchFamily="18" charset="0"/>
                                <a:ea typeface="+mn-ea"/>
                                <a:cs typeface="+mn-cs"/>
                              </a:rPr>
                              <m:t>𝑛</m:t>
                            </m:r>
                          </m:e>
                          <m:sup>
                            <m:r>
                              <a:rPr lang="ca-ES" sz="1100" b="0" i="1">
                                <a:solidFill>
                                  <a:schemeClr val="dk1"/>
                                </a:solidFill>
                                <a:effectLst/>
                                <a:latin typeface="Cambria Math" panose="02040503050406030204" pitchFamily="18" charset="0"/>
                                <a:ea typeface="+mn-ea"/>
                                <a:cs typeface="+mn-cs"/>
                              </a:rPr>
                              <m:t>2+</m:t>
                            </m:r>
                          </m:sup>
                        </m:sSup>
                      </m:num>
                      <m:den>
                        <m:r>
                          <a:rPr lang="es-ES" sz="1100" b="0" i="1">
                            <a:solidFill>
                              <a:schemeClr val="dk1"/>
                            </a:solidFill>
                            <a:effectLst/>
                            <a:latin typeface="Cambria Math" panose="02040503050406030204" pitchFamily="18" charset="0"/>
                            <a:ea typeface="+mn-ea"/>
                            <a:cs typeface="+mn-cs"/>
                          </a:rPr>
                          <m:t>500</m:t>
                        </m:r>
                        <m:r>
                          <a:rPr lang="ca-ES" sz="1100" b="0" i="1">
                            <a:solidFill>
                              <a:schemeClr val="dk1"/>
                            </a:solidFill>
                            <a:effectLst/>
                            <a:latin typeface="Cambria Math" panose="02040503050406030204" pitchFamily="18" charset="0"/>
                            <a:ea typeface="+mn-ea"/>
                            <a:cs typeface="+mn-cs"/>
                          </a:rPr>
                          <m:t>.0 </m:t>
                        </m:r>
                        <m:r>
                          <a:rPr lang="ca-ES" sz="1100" b="0" i="1">
                            <a:solidFill>
                              <a:schemeClr val="dk1"/>
                            </a:solidFill>
                            <a:effectLst/>
                            <a:latin typeface="Cambria Math" panose="02040503050406030204" pitchFamily="18" charset="0"/>
                            <a:ea typeface="+mn-ea"/>
                            <a:cs typeface="+mn-cs"/>
                          </a:rPr>
                          <m:t>𝑚𝐿</m:t>
                        </m:r>
                      </m:den>
                    </m:f>
                    <m:r>
                      <a:rPr lang="ca-ES" sz="1100" b="0" i="1">
                        <a:solidFill>
                          <a:schemeClr val="dk1"/>
                        </a:solidFill>
                        <a:effectLst/>
                        <a:latin typeface="Cambria Math" panose="02040503050406030204" pitchFamily="18" charset="0"/>
                        <a:ea typeface="+mn-ea"/>
                        <a:cs typeface="+mn-cs"/>
                      </a:rPr>
                      <m:t>=10.</m:t>
                    </m:r>
                    <m:r>
                      <a:rPr lang="es-ES" sz="1100" b="0" i="1">
                        <a:solidFill>
                          <a:schemeClr val="dk1"/>
                        </a:solidFill>
                        <a:effectLst/>
                        <a:latin typeface="Cambria Math" panose="02040503050406030204" pitchFamily="18" charset="0"/>
                        <a:ea typeface="+mn-ea"/>
                        <a:cs typeface="+mn-cs"/>
                      </a:rPr>
                      <m:t>8</m:t>
                    </m:r>
                    <m:r>
                      <a:rPr lang="ca-ES" sz="1100" b="0" i="1">
                        <a:solidFill>
                          <a:schemeClr val="dk1"/>
                        </a:solidFill>
                        <a:effectLst/>
                        <a:latin typeface="Cambria Math" panose="02040503050406030204" pitchFamily="18" charset="0"/>
                        <a:ea typeface="+mn-ea"/>
                        <a:cs typeface="+mn-cs"/>
                      </a:rPr>
                      <m:t> </m:t>
                    </m:r>
                    <m:r>
                      <a:rPr lang="ca-ES" sz="1100" b="0" i="1">
                        <a:solidFill>
                          <a:schemeClr val="dk1"/>
                        </a:solidFill>
                        <a:effectLst/>
                        <a:latin typeface="Cambria Math" panose="02040503050406030204" pitchFamily="18" charset="0"/>
                        <a:ea typeface="+mn-ea"/>
                        <a:cs typeface="+mn-cs"/>
                      </a:rPr>
                      <m:t>𝑝𝑝𝑚</m:t>
                    </m:r>
                    <m:r>
                      <a:rPr lang="ca-ES" sz="1100" b="0" i="1">
                        <a:solidFill>
                          <a:schemeClr val="dk1"/>
                        </a:solidFill>
                        <a:effectLst/>
                        <a:latin typeface="Cambria Math" panose="02040503050406030204" pitchFamily="18" charset="0"/>
                        <a:ea typeface="+mn-ea"/>
                        <a:cs typeface="+mn-cs"/>
                      </a:rPr>
                      <m:t> </m:t>
                    </m:r>
                    <m:r>
                      <a:rPr lang="ca-ES" sz="1100" b="0" i="1">
                        <a:solidFill>
                          <a:schemeClr val="dk1"/>
                        </a:solidFill>
                        <a:effectLst/>
                        <a:latin typeface="Cambria Math" panose="02040503050406030204" pitchFamily="18" charset="0"/>
                        <a:ea typeface="+mn-ea"/>
                        <a:cs typeface="+mn-cs"/>
                      </a:rPr>
                      <m:t>𝑀</m:t>
                    </m:r>
                    <m:sSup>
                      <m:sSupPr>
                        <m:ctrlPr>
                          <a:rPr lang="ca-ES" sz="1100" b="0" i="1">
                            <a:solidFill>
                              <a:schemeClr val="dk1"/>
                            </a:solidFill>
                            <a:effectLst/>
                            <a:latin typeface="Cambria Math" panose="02040503050406030204" pitchFamily="18" charset="0"/>
                            <a:ea typeface="+mn-ea"/>
                            <a:cs typeface="+mn-cs"/>
                          </a:rPr>
                        </m:ctrlPr>
                      </m:sSupPr>
                      <m:e>
                        <m:r>
                          <a:rPr lang="ca-ES" sz="1100" b="0" i="1">
                            <a:solidFill>
                              <a:schemeClr val="dk1"/>
                            </a:solidFill>
                            <a:effectLst/>
                            <a:latin typeface="Cambria Math" panose="02040503050406030204" pitchFamily="18" charset="0"/>
                            <a:ea typeface="+mn-ea"/>
                            <a:cs typeface="+mn-cs"/>
                          </a:rPr>
                          <m:t>𝑛</m:t>
                        </m:r>
                      </m:e>
                      <m:sup>
                        <m:r>
                          <a:rPr lang="ca-ES" sz="1100" b="0" i="1">
                            <a:solidFill>
                              <a:schemeClr val="dk1"/>
                            </a:solidFill>
                            <a:effectLst/>
                            <a:latin typeface="Cambria Math" panose="02040503050406030204" pitchFamily="18" charset="0"/>
                            <a:ea typeface="+mn-ea"/>
                            <a:cs typeface="+mn-cs"/>
                          </a:rPr>
                          <m:t>2+</m:t>
                        </m:r>
                      </m:sup>
                    </m:sSup>
                  </m:oMath>
                </m:oMathPara>
              </a14:m>
              <a:endParaRPr lang="ca-ES" sz="1100"/>
            </a:p>
            <a:p>
              <a:pPr marL="0" marR="0" lvl="0" indent="0" defTabSz="914400" eaLnBrk="1" fontAlgn="auto" latinLnBrk="0" hangingPunct="1">
                <a:lnSpc>
                  <a:spcPct val="100000"/>
                </a:lnSpc>
                <a:spcBef>
                  <a:spcPts val="0"/>
                </a:spcBef>
                <a:spcAft>
                  <a:spcPts val="0"/>
                </a:spcAft>
                <a:buClrTx/>
                <a:buSzTx/>
                <a:buFontTx/>
                <a:buNone/>
                <a:tabLst/>
                <a:defRPr/>
              </a:pPr>
              <a:endParaRPr lang="ca-ES" sz="1100"/>
            </a:p>
            <a:p>
              <a:pPr marL="0" marR="0" lvl="0" indent="0" defTabSz="914400" eaLnBrk="1" fontAlgn="auto" latinLnBrk="0" hangingPunct="1">
                <a:lnSpc>
                  <a:spcPct val="100000"/>
                </a:lnSpc>
                <a:spcBef>
                  <a:spcPts val="0"/>
                </a:spcBef>
                <a:spcAft>
                  <a:spcPts val="0"/>
                </a:spcAft>
                <a:buClrTx/>
                <a:buSzTx/>
                <a:buFontTx/>
                <a:buNone/>
                <a:tabLst/>
                <a:defRPr/>
              </a:pPr>
              <a:r>
                <a:rPr lang="ca-ES" sz="1100" u="sng"/>
                <a:t>Patró 0.8 ppm</a:t>
              </a:r>
            </a:p>
            <a:p>
              <a:pPr marL="0" marR="0" lvl="0" indent="0" defTabSz="914400" eaLnBrk="1" fontAlgn="auto" latinLnBrk="0" hangingPunct="1">
                <a:lnSpc>
                  <a:spcPct val="100000"/>
                </a:lnSpc>
                <a:spcBef>
                  <a:spcPts val="0"/>
                </a:spcBef>
                <a:spcAft>
                  <a:spcPts val="0"/>
                </a:spcAft>
                <a:buClrTx/>
                <a:buSzTx/>
                <a:buFontTx/>
                <a:buNone/>
                <a:tabLst/>
                <a:defRPr/>
              </a:pPr>
              <a:endParaRPr lang="ca-ES" sz="1100" u="sng"/>
            </a:p>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f>
                      <m:fPr>
                        <m:ctrlPr>
                          <a:rPr lang="es-ES" sz="1100" b="0" i="0" u="none">
                            <a:latin typeface="Cambria Math" panose="02040503050406030204" pitchFamily="18" charset="0"/>
                          </a:rPr>
                        </m:ctrlPr>
                      </m:fPr>
                      <m:num>
                        <m:r>
                          <a:rPr lang="es-ES" sz="1100" b="0" i="0" u="none">
                            <a:latin typeface="Cambria Math" panose="02040503050406030204" pitchFamily="18" charset="0"/>
                          </a:rPr>
                          <m:t>10.8 </m:t>
                        </m:r>
                        <m:r>
                          <m:rPr>
                            <m:sty m:val="p"/>
                          </m:rPr>
                          <a:rPr lang="es-ES" sz="1100" b="0" i="0" u="none">
                            <a:latin typeface="Cambria Math" panose="02040503050406030204" pitchFamily="18" charset="0"/>
                          </a:rPr>
                          <m:t>ppm</m:t>
                        </m:r>
                        <m:r>
                          <a:rPr lang="es-ES" sz="1100" b="0" i="1" u="none">
                            <a:latin typeface="Cambria Math" panose="02040503050406030204" pitchFamily="18" charset="0"/>
                          </a:rPr>
                          <m:t>⋅4</m:t>
                        </m:r>
                        <m:r>
                          <a:rPr lang="es-ES" sz="1100" b="0" i="1" u="none">
                            <a:latin typeface="Cambria Math" panose="02040503050406030204" pitchFamily="18" charset="0"/>
                          </a:rPr>
                          <m:t>𝑚</m:t>
                        </m:r>
                        <m:r>
                          <m:rPr>
                            <m:sty m:val="p"/>
                          </m:rPr>
                          <a:rPr lang="es-ES" sz="1100" b="0" i="0" u="none">
                            <a:latin typeface="Cambria Math" panose="02040503050406030204" pitchFamily="18" charset="0"/>
                          </a:rPr>
                          <m:t>L</m:t>
                        </m:r>
                      </m:num>
                      <m:den>
                        <m:r>
                          <a:rPr lang="es-ES" sz="1100" b="0" i="0" u="none">
                            <a:latin typeface="Cambria Math" panose="02040503050406030204" pitchFamily="18" charset="0"/>
                          </a:rPr>
                          <m:t>25 </m:t>
                        </m:r>
                        <m:r>
                          <m:rPr>
                            <m:sty m:val="p"/>
                          </m:rPr>
                          <a:rPr lang="es-ES" sz="1100" b="0" i="0" u="none">
                            <a:latin typeface="Cambria Math" panose="02040503050406030204" pitchFamily="18" charset="0"/>
                          </a:rPr>
                          <m:t>mL</m:t>
                        </m:r>
                      </m:den>
                    </m:f>
                    <m:r>
                      <a:rPr lang="es-ES" sz="1100" b="0" i="0" u="none">
                        <a:latin typeface="Cambria Math" panose="02040503050406030204" pitchFamily="18" charset="0"/>
                      </a:rPr>
                      <m:t>=0.87</m:t>
                    </m:r>
                    <m:r>
                      <m:rPr>
                        <m:sty m:val="p"/>
                      </m:rPr>
                      <a:rPr lang="es-ES" sz="1100" b="0" i="0" u="none">
                        <a:latin typeface="Cambria Math" panose="02040503050406030204" pitchFamily="18" charset="0"/>
                      </a:rPr>
                      <m:t>ppm</m:t>
                    </m:r>
                  </m:oMath>
                </m:oMathPara>
              </a14:m>
              <a:endParaRPr lang="ca-ES" sz="1100" i="0" u="none"/>
            </a:p>
            <a:p>
              <a:pPr marL="0" marR="0" lvl="0" indent="0" defTabSz="914400" eaLnBrk="1" fontAlgn="auto" latinLnBrk="0" hangingPunct="1">
                <a:lnSpc>
                  <a:spcPct val="100000"/>
                </a:lnSpc>
                <a:spcBef>
                  <a:spcPts val="0"/>
                </a:spcBef>
                <a:spcAft>
                  <a:spcPts val="0"/>
                </a:spcAft>
                <a:buClrTx/>
                <a:buSzTx/>
                <a:buFontTx/>
                <a:buNone/>
                <a:tabLst/>
                <a:defRPr/>
              </a:pPr>
              <a:endParaRPr lang="ca-ES" sz="1100"/>
            </a:p>
            <a:p>
              <a:pPr marL="0" marR="0" lvl="0" indent="0" defTabSz="914400" eaLnBrk="1" fontAlgn="auto" latinLnBrk="0" hangingPunct="1">
                <a:lnSpc>
                  <a:spcPct val="100000"/>
                </a:lnSpc>
                <a:spcBef>
                  <a:spcPts val="0"/>
                </a:spcBef>
                <a:spcAft>
                  <a:spcPts val="0"/>
                </a:spcAft>
                <a:buClrTx/>
                <a:buSzTx/>
                <a:buFontTx/>
                <a:buNone/>
                <a:tabLst/>
                <a:defRPr/>
              </a:pPr>
              <a:endParaRPr lang="ca-ES" sz="1100"/>
            </a:p>
          </xdr:txBody>
        </xdr:sp>
      </mc:Choice>
      <mc:Fallback>
        <xdr:sp macro="" textlink="">
          <xdr:nvSpPr>
            <xdr:cNvPr id="2" name="CuadroTexto 2">
              <a:extLst>
                <a:ext uri="{FF2B5EF4-FFF2-40B4-BE49-F238E27FC236}">
                  <a16:creationId xmlns:a16="http://schemas.microsoft.com/office/drawing/2014/main" id="{BBFA22E7-3A23-49BD-B84C-1FABBF8D7BB7}"/>
                </a:ext>
              </a:extLst>
            </xdr:cNvPr>
            <xdr:cNvSpPr txBox="1"/>
          </xdr:nvSpPr>
          <xdr:spPr>
            <a:xfrm>
              <a:off x="53362" y="5161935"/>
              <a:ext cx="7989971" cy="32048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a-ES" sz="1100" b="1"/>
                <a:t>Dades</a:t>
              </a:r>
            </a:p>
            <a:p>
              <a:r>
                <a:rPr lang="ca-ES" sz="1100"/>
                <a:t>PM Mg:</a:t>
              </a:r>
              <a:r>
                <a:rPr lang="ca-ES" sz="1100" baseline="0"/>
                <a:t> 54.94 g/mol</a:t>
              </a:r>
            </a:p>
            <a:p>
              <a:r>
                <a:rPr lang="ca-ES" sz="1100" baseline="0"/>
                <a:t>PM MgSO4: 169.02g/mol</a:t>
              </a:r>
            </a:p>
            <a:p>
              <a:r>
                <a:rPr lang="ca-ES" sz="1100" b="1" baseline="0"/>
                <a:t>Càlculs</a:t>
              </a:r>
            </a:p>
            <a:p>
              <a:pPr marL="0" marR="0" lvl="0" indent="0" defTabSz="914400" eaLnBrk="1" fontAlgn="auto" latinLnBrk="0" hangingPunct="1">
                <a:lnSpc>
                  <a:spcPct val="100000"/>
                </a:lnSpc>
                <a:spcBef>
                  <a:spcPts val="0"/>
                </a:spcBef>
                <a:spcAft>
                  <a:spcPts val="0"/>
                </a:spcAft>
                <a:buClrTx/>
                <a:buSzTx/>
                <a:buFontTx/>
                <a:buNone/>
                <a:tabLst/>
                <a:defRPr/>
              </a:pPr>
              <a:r>
                <a:rPr lang="ca-ES" sz="1100" u="sng"/>
                <a:t>Primera dissolució de 100 ppm</a:t>
              </a:r>
            </a:p>
            <a:p>
              <a:endParaRPr lang="ca-ES" sz="1100" b="1"/>
            </a:p>
            <a:p>
              <a:pPr/>
              <a:r>
                <a:rPr lang="ca-ES" sz="1100" b="0" i="0">
                  <a:latin typeface="Cambria Math" panose="02040503050406030204" pitchFamily="18" charset="0"/>
                </a:rPr>
                <a:t>0</a:t>
              </a:r>
              <a:r>
                <a:rPr lang="es-ES" sz="1100" b="0" i="0">
                  <a:latin typeface="Cambria Math" panose="02040503050406030204" pitchFamily="18" charset="0"/>
                </a:rPr>
                <a:t>.1665</a:t>
              </a:r>
              <a:r>
                <a:rPr lang="ca-ES" sz="1100" b="0" i="0">
                  <a:latin typeface="Cambria Math" panose="02040503050406030204" pitchFamily="18" charset="0"/>
                </a:rPr>
                <a:t> </a:t>
              </a:r>
              <a:r>
                <a:rPr lang="ca-ES" sz="1100" b="1" i="0">
                  <a:latin typeface="Cambria Math" panose="02040503050406030204" pitchFamily="18" charset="0"/>
                </a:rPr>
                <a:t>𝒎𝒈</a:t>
              </a:r>
              <a:r>
                <a:rPr lang="ca-ES" sz="1100" b="0" i="0">
                  <a:latin typeface="Cambria Math" panose="02040503050406030204" pitchFamily="18" charset="0"/>
                </a:rPr>
                <a:t> 𝑀𝑛𝑆𝑂_4·(1 𝑚𝑜𝑙 𝑀𝑛𝑆𝑂_4)/(169.02 𝑔 𝑀𝑛𝑆𝑂_4 )·(1 𝑚𝑜𝑙 𝑀𝑛^(2+))/(1 𝑚𝑜𝑙 𝑀𝑛𝑆𝑂_4 )·(54.9380 𝑔 </a:t>
              </a:r>
              <a:r>
                <a:rPr lang="ca-ES" sz="1100" b="1" i="0">
                  <a:latin typeface="Cambria Math" panose="02040503050406030204" pitchFamily="18" charset="0"/>
                </a:rPr>
                <a:t>𝑴𝒏^(𝟐+)</a:t>
              </a:r>
              <a:r>
                <a:rPr lang="ca-ES" sz="1100" b="0" i="0">
                  <a:latin typeface="Cambria Math" panose="02040503050406030204" pitchFamily="18" charset="0"/>
                </a:rPr>
                <a:t>)/(1 𝑚𝑜𝑙 𝑀𝑛^(2+) )</a:t>
              </a:r>
              <a:r>
                <a:rPr lang="es-ES" sz="1100" b="0" i="0">
                  <a:latin typeface="Cambria Math" panose="02040503050406030204" pitchFamily="18" charset="0"/>
                </a:rPr>
                <a:t>⋅(10^3 𝑚𝑔)/1𝑔⋅1/500𝑚𝐿⋅(10^3 𝑚𝐿)/1𝐿=108.2𝑝𝑝𝑚 </a:t>
              </a:r>
              <a:r>
                <a:rPr lang="ca-ES" sz="1100" b="0" i="0">
                  <a:solidFill>
                    <a:schemeClr val="dk1"/>
                  </a:solidFill>
                  <a:effectLst/>
                  <a:latin typeface="Cambria Math" panose="02040503050406030204" pitchFamily="18" charset="0"/>
                  <a:ea typeface="+mn-ea"/>
                  <a:cs typeface="+mn-cs"/>
                </a:rPr>
                <a:t>𝑀𝑛^(2+)</a:t>
              </a:r>
              <a:endParaRPr lang="ca-ES" sz="1100"/>
            </a:p>
            <a:p>
              <a:pPr marL="0" marR="0" lvl="0" indent="0" defTabSz="914400" eaLnBrk="1" fontAlgn="auto" latinLnBrk="0" hangingPunct="1">
                <a:lnSpc>
                  <a:spcPct val="100000"/>
                </a:lnSpc>
                <a:spcBef>
                  <a:spcPts val="0"/>
                </a:spcBef>
                <a:spcAft>
                  <a:spcPts val="0"/>
                </a:spcAft>
                <a:buClrTx/>
                <a:buSzTx/>
                <a:buFontTx/>
                <a:buNone/>
                <a:tabLst/>
                <a:defRPr/>
              </a:pPr>
              <a:endParaRPr lang="ca-ES" sz="1100" u="sng"/>
            </a:p>
            <a:p>
              <a:r>
                <a:rPr lang="ca-ES" sz="1100" u="sng"/>
                <a:t>Dilució de 10 ppm (Dissolució de treball)</a:t>
              </a:r>
            </a:p>
            <a:p>
              <a:endParaRPr lang="ca-ES" sz="1100" u="sng"/>
            </a:p>
            <a:p>
              <a:pPr marL="0" marR="0" lvl="0" indent="0" defTabSz="914400" eaLnBrk="1" fontAlgn="auto" latinLnBrk="0" hangingPunct="1">
                <a:lnSpc>
                  <a:spcPct val="100000"/>
                </a:lnSpc>
                <a:spcBef>
                  <a:spcPts val="0"/>
                </a:spcBef>
                <a:spcAft>
                  <a:spcPts val="0"/>
                </a:spcAft>
                <a:buClrTx/>
                <a:buSzTx/>
                <a:buFontTx/>
                <a:buNone/>
                <a:tabLst/>
                <a:defRPr/>
              </a:pPr>
              <a:r>
                <a:rPr lang="ca-ES" sz="1100" b="0" i="0">
                  <a:solidFill>
                    <a:schemeClr val="dk1"/>
                  </a:solidFill>
                  <a:effectLst/>
                  <a:latin typeface="Cambria Math" panose="02040503050406030204" pitchFamily="18" charset="0"/>
                  <a:ea typeface="+mn-ea"/>
                  <a:cs typeface="+mn-cs"/>
                </a:rPr>
                <a:t>(</a:t>
              </a:r>
              <a:r>
                <a:rPr lang="es-ES" sz="1100" b="0" i="0">
                  <a:solidFill>
                    <a:schemeClr val="dk1"/>
                  </a:solidFill>
                  <a:effectLst/>
                  <a:latin typeface="Cambria Math" panose="02040503050406030204" pitchFamily="18" charset="0"/>
                  <a:ea typeface="+mn-ea"/>
                  <a:cs typeface="+mn-cs"/>
                </a:rPr>
                <a:t>50</a:t>
              </a:r>
              <a:r>
                <a:rPr lang="ca-ES" sz="1100" b="0" i="0">
                  <a:solidFill>
                    <a:schemeClr val="dk1"/>
                  </a:solidFill>
                  <a:effectLst/>
                  <a:latin typeface="Cambria Math" panose="02040503050406030204" pitchFamily="18" charset="0"/>
                  <a:ea typeface="+mn-ea"/>
                  <a:cs typeface="+mn-cs"/>
                </a:rPr>
                <a:t>.0 𝑚𝐿·10</a:t>
              </a:r>
              <a:r>
                <a:rPr lang="es-ES" sz="1100" b="0" i="0">
                  <a:solidFill>
                    <a:schemeClr val="dk1"/>
                  </a:solidFill>
                  <a:effectLst/>
                  <a:latin typeface="Cambria Math" panose="02040503050406030204" pitchFamily="18" charset="0"/>
                  <a:ea typeface="+mn-ea"/>
                  <a:cs typeface="+mn-cs"/>
                </a:rPr>
                <a:t>8.2</a:t>
              </a:r>
              <a:r>
                <a:rPr lang="ca-ES" sz="1100" b="0" i="0">
                  <a:solidFill>
                    <a:schemeClr val="dk1"/>
                  </a:solidFill>
                  <a:effectLst/>
                  <a:latin typeface="Cambria Math" panose="02040503050406030204" pitchFamily="18" charset="0"/>
                  <a:ea typeface="+mn-ea"/>
                  <a:cs typeface="+mn-cs"/>
                </a:rPr>
                <a:t> 𝑝𝑚 𝑀𝑛^(2+))/(</a:t>
              </a:r>
              <a:r>
                <a:rPr lang="es-ES" sz="1100" b="0" i="0">
                  <a:solidFill>
                    <a:schemeClr val="dk1"/>
                  </a:solidFill>
                  <a:effectLst/>
                  <a:latin typeface="Cambria Math" panose="02040503050406030204" pitchFamily="18" charset="0"/>
                  <a:ea typeface="+mn-ea"/>
                  <a:cs typeface="+mn-cs"/>
                </a:rPr>
                <a:t>500</a:t>
              </a:r>
              <a:r>
                <a:rPr lang="ca-ES" sz="1100" b="0" i="0">
                  <a:solidFill>
                    <a:schemeClr val="dk1"/>
                  </a:solidFill>
                  <a:effectLst/>
                  <a:latin typeface="Cambria Math" panose="02040503050406030204" pitchFamily="18" charset="0"/>
                  <a:ea typeface="+mn-ea"/>
                  <a:cs typeface="+mn-cs"/>
                </a:rPr>
                <a:t>.0 𝑚𝐿)=10.</a:t>
              </a:r>
              <a:r>
                <a:rPr lang="es-ES" sz="1100" b="0" i="0">
                  <a:solidFill>
                    <a:schemeClr val="dk1"/>
                  </a:solidFill>
                  <a:effectLst/>
                  <a:latin typeface="Cambria Math" panose="02040503050406030204" pitchFamily="18" charset="0"/>
                  <a:ea typeface="+mn-ea"/>
                  <a:cs typeface="+mn-cs"/>
                </a:rPr>
                <a:t>8</a:t>
              </a:r>
              <a:r>
                <a:rPr lang="ca-ES" sz="1100" b="0" i="0">
                  <a:solidFill>
                    <a:schemeClr val="dk1"/>
                  </a:solidFill>
                  <a:effectLst/>
                  <a:latin typeface="Cambria Math" panose="02040503050406030204" pitchFamily="18" charset="0"/>
                  <a:ea typeface="+mn-ea"/>
                  <a:cs typeface="+mn-cs"/>
                </a:rPr>
                <a:t> 𝑝𝑝𝑚 𝑀𝑛^(2+)</a:t>
              </a:r>
              <a:endParaRPr lang="ca-ES" sz="1100"/>
            </a:p>
            <a:p>
              <a:pPr marL="0" marR="0" lvl="0" indent="0" defTabSz="914400" eaLnBrk="1" fontAlgn="auto" latinLnBrk="0" hangingPunct="1">
                <a:lnSpc>
                  <a:spcPct val="100000"/>
                </a:lnSpc>
                <a:spcBef>
                  <a:spcPts val="0"/>
                </a:spcBef>
                <a:spcAft>
                  <a:spcPts val="0"/>
                </a:spcAft>
                <a:buClrTx/>
                <a:buSzTx/>
                <a:buFontTx/>
                <a:buNone/>
                <a:tabLst/>
                <a:defRPr/>
              </a:pPr>
              <a:endParaRPr lang="ca-ES" sz="1100"/>
            </a:p>
            <a:p>
              <a:pPr marL="0" marR="0" lvl="0" indent="0" defTabSz="914400" eaLnBrk="1" fontAlgn="auto" latinLnBrk="0" hangingPunct="1">
                <a:lnSpc>
                  <a:spcPct val="100000"/>
                </a:lnSpc>
                <a:spcBef>
                  <a:spcPts val="0"/>
                </a:spcBef>
                <a:spcAft>
                  <a:spcPts val="0"/>
                </a:spcAft>
                <a:buClrTx/>
                <a:buSzTx/>
                <a:buFontTx/>
                <a:buNone/>
                <a:tabLst/>
                <a:defRPr/>
              </a:pPr>
              <a:r>
                <a:rPr lang="ca-ES" sz="1100" u="sng"/>
                <a:t>Patró 0.8 ppm</a:t>
              </a:r>
            </a:p>
            <a:p>
              <a:pPr marL="0" marR="0" lvl="0" indent="0" defTabSz="914400" eaLnBrk="1" fontAlgn="auto" latinLnBrk="0" hangingPunct="1">
                <a:lnSpc>
                  <a:spcPct val="100000"/>
                </a:lnSpc>
                <a:spcBef>
                  <a:spcPts val="0"/>
                </a:spcBef>
                <a:spcAft>
                  <a:spcPts val="0"/>
                </a:spcAft>
                <a:buClrTx/>
                <a:buSzTx/>
                <a:buFontTx/>
                <a:buNone/>
                <a:tabLst/>
                <a:defRPr/>
              </a:pPr>
              <a:endParaRPr lang="ca-ES" sz="1100" u="sng"/>
            </a:p>
            <a:p>
              <a:pPr marL="0" marR="0" lvl="0" indent="0" defTabSz="914400" eaLnBrk="1" fontAlgn="auto" latinLnBrk="0" hangingPunct="1">
                <a:lnSpc>
                  <a:spcPct val="100000"/>
                </a:lnSpc>
                <a:spcBef>
                  <a:spcPts val="0"/>
                </a:spcBef>
                <a:spcAft>
                  <a:spcPts val="0"/>
                </a:spcAft>
                <a:buClrTx/>
                <a:buSzTx/>
                <a:buFontTx/>
                <a:buNone/>
                <a:tabLst/>
                <a:defRPr/>
              </a:pPr>
              <a:r>
                <a:rPr lang="es-ES" sz="1100" b="0" i="0" u="none">
                  <a:latin typeface="Cambria Math" panose="02040503050406030204" pitchFamily="18" charset="0"/>
                </a:rPr>
                <a:t>(10.8 ppm⋅4𝑚L)/(25 mL)=0.87ppm</a:t>
              </a:r>
              <a:endParaRPr lang="ca-ES" sz="1100" i="0" u="none"/>
            </a:p>
            <a:p>
              <a:pPr marL="0" marR="0" lvl="0" indent="0" defTabSz="914400" eaLnBrk="1" fontAlgn="auto" latinLnBrk="0" hangingPunct="1">
                <a:lnSpc>
                  <a:spcPct val="100000"/>
                </a:lnSpc>
                <a:spcBef>
                  <a:spcPts val="0"/>
                </a:spcBef>
                <a:spcAft>
                  <a:spcPts val="0"/>
                </a:spcAft>
                <a:buClrTx/>
                <a:buSzTx/>
                <a:buFontTx/>
                <a:buNone/>
                <a:tabLst/>
                <a:defRPr/>
              </a:pPr>
              <a:endParaRPr lang="ca-ES" sz="1100"/>
            </a:p>
            <a:p>
              <a:pPr marL="0" marR="0" lvl="0" indent="0" defTabSz="914400" eaLnBrk="1" fontAlgn="auto" latinLnBrk="0" hangingPunct="1">
                <a:lnSpc>
                  <a:spcPct val="100000"/>
                </a:lnSpc>
                <a:spcBef>
                  <a:spcPts val="0"/>
                </a:spcBef>
                <a:spcAft>
                  <a:spcPts val="0"/>
                </a:spcAft>
                <a:buClrTx/>
                <a:buSzTx/>
                <a:buFontTx/>
                <a:buNone/>
                <a:tabLst/>
                <a:defRPr/>
              </a:pPr>
              <a:endParaRPr lang="ca-ES" sz="1100"/>
            </a:p>
          </xdr:txBody>
        </xdr:sp>
      </mc:Fallback>
    </mc:AlternateContent>
    <xdr:clientData/>
  </xdr:twoCellAnchor>
  <xdr:twoCellAnchor>
    <xdr:from>
      <xdr:col>0</xdr:col>
      <xdr:colOff>165100</xdr:colOff>
      <xdr:row>5</xdr:row>
      <xdr:rowOff>63500</xdr:rowOff>
    </xdr:from>
    <xdr:to>
      <xdr:col>2</xdr:col>
      <xdr:colOff>1092200</xdr:colOff>
      <xdr:row>6</xdr:row>
      <xdr:rowOff>3046669</xdr:rowOff>
    </xdr:to>
    <xdr:sp macro="" textlink="">
      <xdr:nvSpPr>
        <xdr:cNvPr id="3" name="TextBox 2">
          <a:extLst>
            <a:ext uri="{FF2B5EF4-FFF2-40B4-BE49-F238E27FC236}">
              <a16:creationId xmlns:a16="http://schemas.microsoft.com/office/drawing/2014/main" id="{EF1A7488-27C2-1A46-AF64-4867DEB45D4C}"/>
            </a:ext>
          </a:extLst>
        </xdr:cNvPr>
        <xdr:cNvSpPr txBox="1"/>
      </xdr:nvSpPr>
      <xdr:spPr>
        <a:xfrm>
          <a:off x="165100" y="1113367"/>
          <a:ext cx="6193367" cy="3177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b="0"/>
            <a:t>Per a la detecció de la </a:t>
          </a:r>
          <a:r>
            <a:rPr lang="en-GB" sz="1100" b="0" i="0" u="none" strike="noStrike">
              <a:solidFill>
                <a:schemeClr val="dk1"/>
              </a:solidFill>
              <a:effectLst/>
              <a:latin typeface="+mn-lt"/>
              <a:ea typeface="+mn-ea"/>
              <a:cs typeface="+mn-cs"/>
            </a:rPr>
            <a:t>concentració de ferro i manganés en un comprimit multivitamínic</a:t>
          </a:r>
          <a:r>
            <a:rPr lang="en-GB"/>
            <a:t> </a:t>
          </a:r>
          <a:r>
            <a:rPr lang="en-GB" b="0"/>
            <a:t>utilitzem el model 55 AA de la marca Agilent, que permet quantificar la mostra mitjançant espectroscòpia d’absorció atòmica.</a:t>
          </a:r>
          <a:br>
            <a:rPr lang="en-GB" b="0"/>
          </a:br>
          <a:endParaRPr lang="en-GB" b="0"/>
        </a:p>
        <a:p>
          <a:pPr algn="ctr"/>
          <a:r>
            <a:rPr lang="en-GB" b="0"/>
            <a:t>Com a font de llum, s’empra una làmpada de càtode buit multielemental. Aquesta làmpada emet a longituds d’ona molt específiques; concretament, ens fixem en l’emissió a 248,3 nm per</a:t>
          </a:r>
          <a:r>
            <a:rPr lang="en-GB" b="0" baseline="0"/>
            <a:t> la quantificació del</a:t>
          </a:r>
          <a:r>
            <a:rPr lang="en-GB" b="0"/>
            <a:t> ferro i 279,5 nm per la quantificació del manganés. Aquestes longitud d’ona és absorbida pels àtoms de ferro</a:t>
          </a:r>
          <a:r>
            <a:rPr lang="en-GB" b="0" baseline="0"/>
            <a:t> i manganés </a:t>
          </a:r>
          <a:r>
            <a:rPr lang="en-GB" b="0"/>
            <a:t>presents en la mostra, els quals s’exciten. Així, podem determinar la concentració de coure mitjançant la diferència d’intensitat entre una mostra sense ferro</a:t>
          </a:r>
          <a:r>
            <a:rPr lang="en-GB" b="0" baseline="0"/>
            <a:t> i manganés</a:t>
          </a:r>
          <a:r>
            <a:rPr lang="en-GB" b="0"/>
            <a:t> (el blanc) i la</a:t>
          </a:r>
          <a:r>
            <a:rPr lang="en-GB" b="0" baseline="0"/>
            <a:t> dissolució que conté el comprimit multivitamínic</a:t>
          </a:r>
          <a:r>
            <a:rPr lang="en-GB" b="0"/>
            <a:t>.</a:t>
          </a:r>
          <a:br>
            <a:rPr lang="en-GB" b="0"/>
          </a:br>
          <a:endParaRPr lang="en-GB" b="0"/>
        </a:p>
        <a:p>
          <a:pPr algn="ctr"/>
          <a:r>
            <a:rPr lang="en-GB" b="0"/>
            <a:t>Després de realitzar un calibratge amb solucions patró de concentració coneguda de ferro i manganés, i mitjançant la llei de Lambert-Beer, podem quantificar la concentració de de ferro i manganés a partir d’una recta de regressió.</a:t>
          </a:r>
          <a:br>
            <a:rPr lang="en-GB" b="0"/>
          </a:br>
          <a:endParaRPr lang="en-GB" b="0"/>
        </a:p>
        <a:p>
          <a:pPr algn="ctr"/>
          <a:r>
            <a:rPr lang="en-GB" b="0"/>
            <a:t>Nota: És essencial mantenir l’equip net i lliure de residus, ja que, en tractar-se d’una tècnica de quantificació atòmica, la presència d’interferències pot provocar desviacions significatives en els resultats.</a:t>
          </a:r>
        </a:p>
      </xdr:txBody>
    </xdr:sp>
    <xdr:clientData/>
  </xdr:twoCellAnchor>
  <xdr:twoCellAnchor>
    <xdr:from>
      <xdr:col>0</xdr:col>
      <xdr:colOff>51226</xdr:colOff>
      <xdr:row>36</xdr:row>
      <xdr:rowOff>69156</xdr:rowOff>
    </xdr:from>
    <xdr:to>
      <xdr:col>3</xdr:col>
      <xdr:colOff>864454</xdr:colOff>
      <xdr:row>50</xdr:row>
      <xdr:rowOff>1195294</xdr:rowOff>
    </xdr:to>
    <xdr:graphicFrame macro="">
      <xdr:nvGraphicFramePr>
        <xdr:cNvPr id="4" name="Chart 3">
          <a:extLst>
            <a:ext uri="{FF2B5EF4-FFF2-40B4-BE49-F238E27FC236}">
              <a16:creationId xmlns:a16="http://schemas.microsoft.com/office/drawing/2014/main" id="{603A0474-8C99-D4BF-C8A7-4171027F20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421346</xdr:colOff>
      <xdr:row>34</xdr:row>
      <xdr:rowOff>212603</xdr:rowOff>
    </xdr:from>
    <xdr:to>
      <xdr:col>15</xdr:col>
      <xdr:colOff>870358</xdr:colOff>
      <xdr:row>50</xdr:row>
      <xdr:rowOff>839886</xdr:rowOff>
    </xdr:to>
    <xdr:graphicFrame macro="">
      <xdr:nvGraphicFramePr>
        <xdr:cNvPr id="5" name="Chart 4">
          <a:extLst>
            <a:ext uri="{FF2B5EF4-FFF2-40B4-BE49-F238E27FC236}">
              <a16:creationId xmlns:a16="http://schemas.microsoft.com/office/drawing/2014/main" id="{02502609-F3D2-4C46-81B8-3B318B6A76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50800</xdr:colOff>
      <xdr:row>61</xdr:row>
      <xdr:rowOff>50800</xdr:rowOff>
    </xdr:from>
    <xdr:to>
      <xdr:col>3</xdr:col>
      <xdr:colOff>2633133</xdr:colOff>
      <xdr:row>65</xdr:row>
      <xdr:rowOff>0</xdr:rowOff>
    </xdr:to>
    <xdr:sp macro="" textlink="">
      <xdr:nvSpPr>
        <xdr:cNvPr id="6" name="TextBox 5">
          <a:extLst>
            <a:ext uri="{FF2B5EF4-FFF2-40B4-BE49-F238E27FC236}">
              <a16:creationId xmlns:a16="http://schemas.microsoft.com/office/drawing/2014/main" id="{E3241220-AD45-54B6-D01E-D13D9893C09F}"/>
            </a:ext>
          </a:extLst>
        </xdr:cNvPr>
        <xdr:cNvSpPr txBox="1"/>
      </xdr:nvSpPr>
      <xdr:spPr>
        <a:xfrm>
          <a:off x="50800" y="17952092"/>
          <a:ext cx="9417502" cy="34381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a:t>En comparar els dos mètodes, es constata que els resultats obtinguts són molt semblants, (5.3 ± 0.4) mg per</a:t>
          </a:r>
          <a:r>
            <a:rPr lang="en-GB" baseline="0"/>
            <a:t> l'absorbància UV-Vis i </a:t>
          </a:r>
          <a:r>
            <a:rPr lang="en-GB"/>
            <a:t>(4.7 ± 0.6) mg per l'absorció atòmica en flama, i que tots dos concorden amb el valor teòric indicat per l’etiqueta, 5 mg. </a:t>
          </a:r>
        </a:p>
      </xdr:txBody>
    </xdr:sp>
    <xdr:clientData/>
  </xdr:twoCellAnchor>
  <xdr:twoCellAnchor>
    <xdr:from>
      <xdr:col>0</xdr:col>
      <xdr:colOff>67196</xdr:colOff>
      <xdr:row>80</xdr:row>
      <xdr:rowOff>13439</xdr:rowOff>
    </xdr:from>
    <xdr:to>
      <xdr:col>5</xdr:col>
      <xdr:colOff>26878</xdr:colOff>
      <xdr:row>84</xdr:row>
      <xdr:rowOff>53757</xdr:rowOff>
    </xdr:to>
    <xdr:sp macro="" textlink="">
      <xdr:nvSpPr>
        <xdr:cNvPr id="7" name="TextBox 6">
          <a:extLst>
            <a:ext uri="{FF2B5EF4-FFF2-40B4-BE49-F238E27FC236}">
              <a16:creationId xmlns:a16="http://schemas.microsoft.com/office/drawing/2014/main" id="{F90ABC84-B5B7-6BA1-3FF7-2D2CDC671FAC}"/>
            </a:ext>
          </a:extLst>
        </xdr:cNvPr>
        <xdr:cNvSpPr txBox="1"/>
      </xdr:nvSpPr>
      <xdr:spPr>
        <a:xfrm>
          <a:off x="67196" y="24539894"/>
          <a:ext cx="11006666" cy="16597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a:t>El valor teòric indicat pel fabricant és de 5 mg per comprimit. Per contrastar aquest valor, s’ha obtingut una mitjana a partir de cinc</a:t>
          </a:r>
          <a:r>
            <a:rPr lang="en-GB" baseline="0"/>
            <a:t> </a:t>
          </a:r>
          <a:r>
            <a:rPr lang="en-GB"/>
            <a:t>rèpliques experimentals. Les concentracions s’han determinat mitjançant interpolació en una recta de calibratge elaborada amb patrons externs i utilitzant l’instrument AASF. El resultat obtingut ha estat de (4.9 ± 0.2) mg/mL. Tanmateix, cal destacar que la majoria dels intervals de confiança inclouen el valor de l’etiqueta si es consideren dos intervals de confiança, per la qual cosa es pot considerar vàlid tant el valor proporcionat pel fabricant com el resultat obtingut amb l’anàlisi UV-Vis.</a:t>
          </a:r>
        </a:p>
        <a:p>
          <a:pPr algn="ctr"/>
          <a:endParaRPr lang="en-GB"/>
        </a:p>
        <a:p>
          <a:pPr algn="ctr"/>
          <a:r>
            <a:rPr lang="en-GB"/>
            <a:t>D’altra banda, s’observa una gran reproductibilitat en les mesures obtingudes amb l’AASF, ja que la desviació estàndard entre les quatre rèpliques (0.2 mg/mL) és inferior als intervals de confiança. La lleugera diferència de concentració de ferro observada amb AASF, en comparació amb la tècnica UV-Vis, podria atribuir-se al fet que l’AASF mesura el contingut total de ferro present a la mostra, independentment del seu estat d’oxidació. En canvi, la tècnica UV-Vis només permet quantificar el ferro en la forma reduïda, Fe(II), que és la que forma complex.</a:t>
          </a:r>
        </a:p>
      </xdr:txBody>
    </xdr:sp>
    <xdr:clientData/>
  </xdr:twoCellAnchor>
  <xdr:twoCellAnchor>
    <xdr:from>
      <xdr:col>0</xdr:col>
      <xdr:colOff>81280</xdr:colOff>
      <xdr:row>89</xdr:row>
      <xdr:rowOff>152400</xdr:rowOff>
    </xdr:from>
    <xdr:to>
      <xdr:col>3</xdr:col>
      <xdr:colOff>1615440</xdr:colOff>
      <xdr:row>90</xdr:row>
      <xdr:rowOff>863600</xdr:rowOff>
    </xdr:to>
    <xdr:sp macro="" textlink="">
      <xdr:nvSpPr>
        <xdr:cNvPr id="8" name="TextBox 7">
          <a:extLst>
            <a:ext uri="{FF2B5EF4-FFF2-40B4-BE49-F238E27FC236}">
              <a16:creationId xmlns:a16="http://schemas.microsoft.com/office/drawing/2014/main" id="{6A776FCC-FAB1-3A1E-DC12-AE589F5E400C}"/>
            </a:ext>
          </a:extLst>
        </xdr:cNvPr>
        <xdr:cNvSpPr txBox="1"/>
      </xdr:nvSpPr>
      <xdr:spPr>
        <a:xfrm>
          <a:off x="81280" y="28000960"/>
          <a:ext cx="8361680" cy="975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t>Notem</a:t>
          </a:r>
          <a:r>
            <a:rPr lang="en-GB" sz="1100" baseline="0"/>
            <a:t> que per amdós nivells de significància trobem que F_{exp} &lt; F_{crítica} la qual cosa ens fa pensar que no existeixen diferències significatives entre la precissió d'ambdós mètodes amb una confiança del 99% (nivell de significància de 0.01).</a:t>
          </a:r>
        </a:p>
      </xdr:txBody>
    </xdr:sp>
    <xdr:clientData/>
  </xdr:twoCellAnchor>
  <xdr:twoCellAnchor>
    <xdr:from>
      <xdr:col>14</xdr:col>
      <xdr:colOff>640080</xdr:colOff>
      <xdr:row>91</xdr:row>
      <xdr:rowOff>40640</xdr:rowOff>
    </xdr:from>
    <xdr:to>
      <xdr:col>14</xdr:col>
      <xdr:colOff>2895600</xdr:colOff>
      <xdr:row>94</xdr:row>
      <xdr:rowOff>152400</xdr:rowOff>
    </xdr:to>
    <xdr:sp macro="" textlink="">
      <xdr:nvSpPr>
        <xdr:cNvPr id="9" name="TextBox 8">
          <a:extLst>
            <a:ext uri="{FF2B5EF4-FFF2-40B4-BE49-F238E27FC236}">
              <a16:creationId xmlns:a16="http://schemas.microsoft.com/office/drawing/2014/main" id="{5BE0334F-B2F4-ABCB-000E-3C30243A7BD3}"/>
            </a:ext>
          </a:extLst>
        </xdr:cNvPr>
        <xdr:cNvSpPr txBox="1"/>
      </xdr:nvSpPr>
      <xdr:spPr>
        <a:xfrm>
          <a:off x="28275280" y="29433520"/>
          <a:ext cx="2255520" cy="904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t>En</a:t>
          </a:r>
          <a:r>
            <a:rPr lang="en-GB" sz="1100" baseline="0"/>
            <a:t> ambdós casos Q_exp &lt; Q_tab i per tant no podem descartat cap dada.</a:t>
          </a:r>
          <a:endParaRPr lang="en-GB" sz="1100"/>
        </a:p>
      </xdr:txBody>
    </xdr:sp>
    <xdr:clientData/>
  </xdr:twoCellAnchor>
  <xdr:twoCellAnchor>
    <xdr:from>
      <xdr:col>6</xdr:col>
      <xdr:colOff>1625600</xdr:colOff>
      <xdr:row>90</xdr:row>
      <xdr:rowOff>873760</xdr:rowOff>
    </xdr:from>
    <xdr:to>
      <xdr:col>8</xdr:col>
      <xdr:colOff>1148080</xdr:colOff>
      <xdr:row>90</xdr:row>
      <xdr:rowOff>1259840</xdr:rowOff>
    </xdr:to>
    <xdr:sp macro="" textlink="">
      <xdr:nvSpPr>
        <xdr:cNvPr id="10" name="TextBox 9">
          <a:extLst>
            <a:ext uri="{FF2B5EF4-FFF2-40B4-BE49-F238E27FC236}">
              <a16:creationId xmlns:a16="http://schemas.microsoft.com/office/drawing/2014/main" id="{6A1EA6E2-3717-D3EC-5AFA-00516DED1D45}"/>
            </a:ext>
          </a:extLst>
        </xdr:cNvPr>
        <xdr:cNvSpPr txBox="1"/>
      </xdr:nvSpPr>
      <xdr:spPr>
        <a:xfrm>
          <a:off x="15697200" y="28986480"/>
          <a:ext cx="4622800" cy="386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u="sng"/>
            <a:t>Test comparació de dades aparellades</a:t>
          </a:r>
        </a:p>
      </xdr:txBody>
    </xdr:sp>
    <xdr:clientData/>
  </xdr:twoCellAnchor>
  <xdr:twoCellAnchor>
    <xdr:from>
      <xdr:col>17</xdr:col>
      <xdr:colOff>396240</xdr:colOff>
      <xdr:row>91</xdr:row>
      <xdr:rowOff>91440</xdr:rowOff>
    </xdr:from>
    <xdr:to>
      <xdr:col>18</xdr:col>
      <xdr:colOff>690880</xdr:colOff>
      <xdr:row>94</xdr:row>
      <xdr:rowOff>233680</xdr:rowOff>
    </xdr:to>
    <xdr:sp macro="" textlink="">
      <xdr:nvSpPr>
        <xdr:cNvPr id="11" name="TextBox 10">
          <a:extLst>
            <a:ext uri="{FF2B5EF4-FFF2-40B4-BE49-F238E27FC236}">
              <a16:creationId xmlns:a16="http://schemas.microsoft.com/office/drawing/2014/main" id="{B0D37011-5DE2-7F04-F549-A9DEE4616F62}"/>
            </a:ext>
          </a:extLst>
        </xdr:cNvPr>
        <xdr:cNvSpPr txBox="1"/>
      </xdr:nvSpPr>
      <xdr:spPr>
        <a:xfrm>
          <a:off x="34076640" y="29484320"/>
          <a:ext cx="1818640" cy="934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t>Observem que t_tab</a:t>
          </a:r>
          <a:r>
            <a:rPr lang="en-GB" sz="1100" baseline="0"/>
            <a:t> &lt; t_exp i per tant les dades no són comparables.</a:t>
          </a:r>
        </a:p>
      </xdr:txBody>
    </xdr:sp>
    <xdr:clientData/>
  </xdr:twoCellAnchor>
  <xdr:twoCellAnchor>
    <xdr:from>
      <xdr:col>0</xdr:col>
      <xdr:colOff>0</xdr:colOff>
      <xdr:row>91</xdr:row>
      <xdr:rowOff>111760</xdr:rowOff>
    </xdr:from>
    <xdr:to>
      <xdr:col>4</xdr:col>
      <xdr:colOff>345440</xdr:colOff>
      <xdr:row>99</xdr:row>
      <xdr:rowOff>182880</xdr:rowOff>
    </xdr:to>
    <xdr:sp macro="" textlink="">
      <xdr:nvSpPr>
        <xdr:cNvPr id="12" name="TextBox 11">
          <a:extLst>
            <a:ext uri="{FF2B5EF4-FFF2-40B4-BE49-F238E27FC236}">
              <a16:creationId xmlns:a16="http://schemas.microsoft.com/office/drawing/2014/main" id="{B3BDFD17-3C17-72E4-7FE7-2352333CBA8A}"/>
            </a:ext>
          </a:extLst>
        </xdr:cNvPr>
        <xdr:cNvSpPr txBox="1"/>
      </xdr:nvSpPr>
      <xdr:spPr>
        <a:xfrm>
          <a:off x="0" y="29388602"/>
          <a:ext cx="10371756" cy="22100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a:t>S’ha constatat l’existència de diferències significatives entre els mètodes analitzats. Tot i que la precisió global de les dues tècniques és comparable, en funció de cada parella de dades un mètode pot mostrar una lleugera superioritat respecte a l’altre però no prou significativa</a:t>
          </a:r>
          <a:r>
            <a:rPr lang="en-GB" baseline="0"/>
            <a:t> com per a ser determinant</a:t>
          </a:r>
          <a:r>
            <a:rPr lang="en-GB"/>
            <a:t>. En el nostre cas concret, ambdues tècniques han presentat precisions similars</a:t>
          </a:r>
          <a:r>
            <a:rPr lang="en-GB" baseline="0"/>
            <a:t> (± 0.6) ppm pel AASF i (± 0.4) ppm pel UV-Vis</a:t>
          </a:r>
          <a:r>
            <a:rPr lang="en-GB"/>
            <a:t>.</a:t>
          </a:r>
        </a:p>
        <a:p>
          <a:pPr algn="ctr"/>
          <a:br>
            <a:rPr lang="en-GB"/>
          </a:br>
          <a:endParaRPr lang="en-GB"/>
        </a:p>
        <a:p>
          <a:pPr algn="ctr"/>
          <a:r>
            <a:rPr lang="en-GB"/>
            <a:t>Com a conseqüència, el test estadístic per a dades aparellades no ha estat concloent, indicant que no es poden considerar comparables directament,</a:t>
          </a:r>
          <a:r>
            <a:rPr lang="en-GB" baseline="0"/>
            <a:t> tot i donar resultats comparables de precisió comparables.</a:t>
          </a:r>
          <a:endParaRPr lang="en-GB"/>
        </a:p>
      </xdr:txBody>
    </xdr:sp>
    <xdr:clientData/>
  </xdr:twoCellAnchor>
  <xdr:twoCellAnchor>
    <xdr:from>
      <xdr:col>0</xdr:col>
      <xdr:colOff>0</xdr:colOff>
      <xdr:row>103</xdr:row>
      <xdr:rowOff>133683</xdr:rowOff>
    </xdr:from>
    <xdr:to>
      <xdr:col>4</xdr:col>
      <xdr:colOff>1269999</xdr:colOff>
      <xdr:row>109</xdr:row>
      <xdr:rowOff>4520108</xdr:rowOff>
    </xdr:to>
    <xdr:sp macro="" textlink="">
      <xdr:nvSpPr>
        <xdr:cNvPr id="13" name="TextBox 12">
          <a:extLst>
            <a:ext uri="{FF2B5EF4-FFF2-40B4-BE49-F238E27FC236}">
              <a16:creationId xmlns:a16="http://schemas.microsoft.com/office/drawing/2014/main" id="{CF3F8B66-CC44-F58D-A9A8-5E0ECD618B84}"/>
            </a:ext>
          </a:extLst>
        </xdr:cNvPr>
        <xdr:cNvSpPr txBox="1"/>
      </xdr:nvSpPr>
      <xdr:spPr>
        <a:xfrm>
          <a:off x="0" y="32675726"/>
          <a:ext cx="11279784" cy="59568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b="0"/>
            <a:t>L’avantatge principal de la tècnica AASF és que permet detectar el ferro en la seva forma atòmica sense dependre del seu estat d’oxidació, la qual cosa elimina la necessitat de realitzar una complexació prèvia. Aquest fet fa que que aquest procediment sigui molt més selectiu que</a:t>
          </a:r>
          <a:r>
            <a:rPr lang="en-GB" b="0" baseline="0"/>
            <a:t> l'UV-Vis</a:t>
          </a:r>
          <a:r>
            <a:rPr lang="en-GB" b="0"/>
            <a:t>. A més, des del punt de vista tècnic, tant l’equip com el mètode ofereixen una major exactitud i precisió en les mesures.</a:t>
          </a:r>
          <a:r>
            <a:rPr lang="en-GB" b="0" baseline="0"/>
            <a:t> A més, donat que al mesurar directament l'absorbància atòmica a la longitud d'ona desitjada observem que l'efecte d'interferències a la matriu es vegi reduït.</a:t>
          </a:r>
        </a:p>
        <a:p>
          <a:pPr algn="ctr"/>
          <a:endParaRPr lang="en-GB" b="0" baseline="0"/>
        </a:p>
        <a:p>
          <a:pPr algn="ctr"/>
          <a:r>
            <a:rPr lang="en-GB"/>
            <a:t>A nivell de resultats hem obtingut valors</a:t>
          </a:r>
          <a:r>
            <a:rPr lang="en-GB" baseline="0"/>
            <a:t> comparables </a:t>
          </a:r>
          <a:r>
            <a:rPr lang="en-GB"/>
            <a:t>(5.3 ± 0.4) mg per</a:t>
          </a:r>
          <a:r>
            <a:rPr lang="en-GB" baseline="0"/>
            <a:t> l'absorbància UV-Vis i </a:t>
          </a:r>
          <a:r>
            <a:rPr lang="en-GB"/>
            <a:t>(4.7 ± 0.6) mg per l'absorció atòmica en flama.</a:t>
          </a:r>
          <a:r>
            <a:rPr lang="en-GB" baseline="0"/>
            <a:t> Tot i que a</a:t>
          </a:r>
          <a:r>
            <a:rPr lang="en-GB"/>
            <a:t> l’hora d’avaluar-los, a més de considerar la precisió i els valors obtinguts, també cal valorar el cost i la facilitat d’ús de cada tècnica. </a:t>
          </a:r>
        </a:p>
        <a:p>
          <a:pPr algn="ctr"/>
          <a:endParaRPr lang="en-GB"/>
        </a:p>
        <a:p>
          <a:pPr marL="0" marR="0" lvl="0" indent="0" algn="ctr" defTabSz="914400" eaLnBrk="1" fontAlgn="auto" latinLnBrk="0" hangingPunct="1">
            <a:lnSpc>
              <a:spcPct val="100000"/>
            </a:lnSpc>
            <a:spcBef>
              <a:spcPts val="0"/>
            </a:spcBef>
            <a:spcAft>
              <a:spcPts val="0"/>
            </a:spcAft>
            <a:buClrTx/>
            <a:buSzTx/>
            <a:buFontTx/>
            <a:buNone/>
            <a:tabLst/>
            <a:defRPr/>
          </a:pPr>
          <a:r>
            <a:rPr lang="en-GB"/>
            <a:t>Els espectrofotòmetres UV-Vis resulten més econòmics i, fins i tot, ofereixen certa portabilitat, permetent fer les anàlisis fora del laboratori o directament sobre la taula. En canvi, l’anàlisi per absorció atòmica amb flama implica un equipament molt més car i complex,</a:t>
          </a:r>
          <a:r>
            <a:rPr lang="en-GB" baseline="0"/>
            <a:t> </a:t>
          </a:r>
          <a:r>
            <a:rPr lang="en-GB"/>
            <a:t>calen fonts d’acetilè, campana extractora, sistemes de detecció,</a:t>
          </a:r>
          <a:r>
            <a:rPr lang="en-GB" baseline="0"/>
            <a:t> </a:t>
          </a:r>
          <a:r>
            <a:rPr lang="en-GB"/>
            <a:t>un dipòsit de rebuig, un software d'ordinador, entre d’altres, cosa que obliga a mantenir l’equipament fix al laboratori. Pel que fa al funcionament, el mètode UV-Vis és més senzill per a l’operador, permetent fer mesures de manera ràpida amb cuvetes de baix cost. Per contra, l’anàlisi atòmica amb flama és una mica més lent i requereix més precaució durant l’ús. Conseqüentment és natural observar que l</a:t>
          </a:r>
          <a:r>
            <a:rPr lang="en-GB" baseline="0"/>
            <a:t>'espectrofotòmetre UV-Vis és més pràctic, fàcil d'utilitzar, requereix de menys manteniment i és més econòmic que l'espectrofotòmetre d'absorció atòmica.</a:t>
          </a:r>
          <a:br>
            <a:rPr lang="en-GB"/>
          </a:br>
          <a:endParaRPr lang="en-GB"/>
        </a:p>
        <a:p>
          <a:pPr algn="ctr"/>
          <a:r>
            <a:rPr lang="en-GB"/>
            <a:t>Un altre fet a remarcar és la diferència entre</a:t>
          </a:r>
          <a:r>
            <a:rPr lang="en-GB" baseline="0"/>
            <a:t> els principis de detecció d'ambdues tècniques. Tot i que ambdós mètodes parlen d'absorció l'</a:t>
          </a:r>
          <a:r>
            <a:rPr lang="en-GB"/>
            <a:t>AASF detecta</a:t>
          </a:r>
          <a:r>
            <a:rPr lang="en-GB" baseline="0"/>
            <a:t> l'absorció atòmica del ferro en estat elemental, la qual cosa dona lloc a transicions electròniques per longituds d'ona discreta, fent que tot plegat sigui un mètode significativament més específic que l'absorbància UV-Vis. En contraposició el mètode d'UV-Vis es centra en mesurar l'absorbància de la mostra en la regió UV-Vis, en particular, en aquesta pràctica </a:t>
          </a:r>
          <a:r>
            <a:rPr lang="en-GB"/>
            <a:t>mesurem el ferro(II) complexat.</a:t>
          </a:r>
          <a:br>
            <a:rPr lang="en-GB"/>
          </a:br>
          <a:endParaRPr lang="en-GB"/>
        </a:p>
        <a:p>
          <a:pPr algn="ctr"/>
          <a:r>
            <a:rPr lang="en-GB"/>
            <a:t>Per tant, tenint en compte l’experiència amb ambdues tècniques, si calgués escollir un mètode per a anàlisis de rutina, optaríem pel sistema UV-Vis,</a:t>
          </a:r>
          <a:r>
            <a:rPr lang="en-GB" baseline="0"/>
            <a:t> tot i que per mostres amb molta interferència</a:t>
          </a:r>
          <a:r>
            <a:rPr lang="en-GB" sz="1100" baseline="0"/>
            <a:t>, per lo general, és  més convenient fer servir l'AASF.</a:t>
          </a:r>
          <a:endParaRPr lang="en-GB" b="0"/>
        </a:p>
        <a:p>
          <a:pPr algn="ctr"/>
          <a:endParaRPr lang="en-GB" b="0"/>
        </a:p>
        <a:p>
          <a:pPr algn="ctr"/>
          <a:r>
            <a:rPr lang="en-GB" b="0"/>
            <a:t>Destaquem</a:t>
          </a:r>
          <a:r>
            <a:rPr lang="en-GB" b="0" baseline="0"/>
            <a:t> aquestes propietats d'ambdós mètodes:</a:t>
          </a:r>
          <a:r>
            <a:rPr lang="en-GB" b="0"/>
            <a:t> </a:t>
          </a:r>
        </a:p>
        <a:p>
          <a:pPr algn="ctr"/>
          <a:r>
            <a:rPr lang="en-GB" b="0" baseline="0"/>
            <a:t> - </a:t>
          </a:r>
          <a:r>
            <a:rPr lang="en-GB" b="0"/>
            <a:t>La</a:t>
          </a:r>
          <a:r>
            <a:rPr lang="en-GB" b="0" baseline="0"/>
            <a:t> c</a:t>
          </a:r>
          <a:r>
            <a:rPr lang="en-GB" b="0"/>
            <a:t>omplexitat i cost operatiu: El funcionament del AASF requereix una infraestructura més exigent, com una instal·lació de canonades d’acetilè, detectors de fuites i campanes extractores. Si bé el procediment analític no és especialment complicat, sí que implica un protocol normalitzat de treball (PNT) més llarg i detallat. En contrast, l’espectrofotòmetre UV-Vis és més accessible, es pot col·locar directament a la taula de laboratori i és molt més econòmic i senzill d’utilitzar.</a:t>
          </a:r>
        </a:p>
        <a:p>
          <a:pPr algn="ctr"/>
          <a:r>
            <a:rPr lang="en-GB" b="0" baseline="0"/>
            <a:t> - </a:t>
          </a:r>
          <a:r>
            <a:rPr lang="en-GB" b="0"/>
            <a:t>Rapidesa i càrrega de treball: El UV-Vis permet realitzar mesures de manera molt ràpida, simplement seleccionant la longitud d’ona i introduint successivament les mostres en cubetes. En canvi, amb l’AASF cada mesura és més lenta i requereix reposicionar manualment el capil·lar per analitzar cada solució, allargant el temps entre mesures.</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sergio/Desktop/University/5nto/LACE/LACE/Sergio%20i%20Dome/Informe%20pra&#768;ctica%20C.xlsx" TargetMode="External"/><Relationship Id="rId1" Type="http://schemas.openxmlformats.org/officeDocument/2006/relationships/externalLinkPath" Target="Informe%20pra&#768;ctica%20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1"/>
      <sheetName val="C2"/>
      <sheetName val="Càlculs"/>
    </sheetNames>
    <sheetDataSet>
      <sheetData sheetId="0">
        <row r="41">
          <cell r="E41">
            <v>8.2028663232519008E-4</v>
          </cell>
          <cell r="F41">
            <v>0.156</v>
          </cell>
        </row>
        <row r="42">
          <cell r="E42">
            <v>1.6405732646503802E-3</v>
          </cell>
          <cell r="F42">
            <v>0.33100000000000002</v>
          </cell>
        </row>
        <row r="43">
          <cell r="E43">
            <v>2.4608598969755703E-3</v>
          </cell>
          <cell r="F43">
            <v>0.496</v>
          </cell>
        </row>
        <row r="44">
          <cell r="E44">
            <v>3.2811465293007603E-3</v>
          </cell>
          <cell r="F44">
            <v>0.67500000000000004</v>
          </cell>
        </row>
        <row r="45">
          <cell r="E45">
            <v>4.1014331616259503E-3</v>
          </cell>
          <cell r="F45">
            <v>0.86799999999999999</v>
          </cell>
        </row>
      </sheetData>
      <sheetData sheetId="1" refreshError="1"/>
      <sheetData sheetId="2"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125"/>
  <sheetViews>
    <sheetView showGridLines="0" topLeftCell="A104" zoomScale="170" zoomScaleNormal="100" workbookViewId="0">
      <selection activeCell="C103" sqref="C103"/>
    </sheetView>
  </sheetViews>
  <sheetFormatPr baseColWidth="10" defaultColWidth="11.5" defaultRowHeight="23.25" customHeight="1"/>
  <cols>
    <col min="1" max="1" width="24.83203125" style="1" customWidth="1"/>
    <col min="2" max="2" width="33.1640625" style="1" customWidth="1"/>
    <col min="3" max="3" width="14.5" style="1" customWidth="1"/>
    <col min="4" max="8" width="12.6640625" style="1" customWidth="1"/>
    <col min="9" max="9" width="19" style="1" customWidth="1"/>
    <col min="10" max="16384" width="11.5" style="1"/>
  </cols>
  <sheetData>
    <row r="1" spans="1:20" ht="21" customHeight="1">
      <c r="A1" s="3" t="s">
        <v>16</v>
      </c>
      <c r="E1" s="8" t="s">
        <v>15</v>
      </c>
      <c r="F1" s="9">
        <v>45792</v>
      </c>
    </row>
    <row r="2" spans="1:20" ht="15" customHeight="1">
      <c r="A2" s="8" t="s">
        <v>0</v>
      </c>
      <c r="B2" s="40" t="s">
        <v>63</v>
      </c>
      <c r="C2" s="40"/>
      <c r="D2" s="40"/>
      <c r="E2" s="8" t="s">
        <v>7</v>
      </c>
      <c r="F2" s="10" t="s">
        <v>64</v>
      </c>
    </row>
    <row r="3" spans="1:20" ht="15" customHeight="1">
      <c r="A3" s="8" t="s">
        <v>1</v>
      </c>
      <c r="B3" s="40" t="s">
        <v>65</v>
      </c>
      <c r="C3" s="40"/>
      <c r="D3" s="40"/>
      <c r="E3"/>
      <c r="F3"/>
    </row>
    <row r="4" spans="1:20" ht="15" customHeight="1">
      <c r="A4" s="2"/>
    </row>
    <row r="5" spans="1:20" ht="15" customHeight="1">
      <c r="A5" s="2" t="s">
        <v>2</v>
      </c>
    </row>
    <row r="6" spans="1:20" ht="119" customHeight="1"/>
    <row r="7" spans="1:20" ht="15" customHeight="1">
      <c r="B7" s="11"/>
      <c r="C7" s="11"/>
      <c r="D7" s="11"/>
      <c r="E7" s="11"/>
      <c r="F7" s="11"/>
      <c r="G7" s="11"/>
      <c r="H7" s="11"/>
    </row>
    <row r="8" spans="1:20" s="2" customFormat="1" ht="15" customHeight="1">
      <c r="A8" s="1"/>
      <c r="B8" s="1"/>
      <c r="C8" s="1"/>
      <c r="D8" s="1"/>
      <c r="E8" s="1"/>
      <c r="F8" s="1"/>
      <c r="G8" s="1"/>
      <c r="H8" s="1"/>
      <c r="I8" s="1"/>
      <c r="J8" s="1"/>
      <c r="K8" s="1"/>
      <c r="L8" s="1"/>
      <c r="M8" s="1"/>
      <c r="N8" s="1"/>
      <c r="O8" s="1"/>
      <c r="P8" s="1"/>
      <c r="Q8" s="1"/>
      <c r="R8" s="1"/>
      <c r="S8" s="1"/>
      <c r="T8" s="1"/>
    </row>
    <row r="9" spans="1:20" s="2" customFormat="1" ht="15" customHeight="1">
      <c r="B9" s="2" t="s">
        <v>35</v>
      </c>
      <c r="F9" s="1"/>
      <c r="H9" s="1">
        <v>5</v>
      </c>
      <c r="I9" s="1" t="s">
        <v>66</v>
      </c>
      <c r="J9" s="1"/>
    </row>
    <row r="10" spans="1:20" ht="15" customHeight="1">
      <c r="A10" s="2"/>
      <c r="B10" s="2"/>
      <c r="C10" s="2"/>
      <c r="D10" s="2"/>
      <c r="E10" s="2"/>
      <c r="F10" s="2"/>
      <c r="G10" s="2"/>
      <c r="H10" s="2"/>
      <c r="I10" s="2"/>
      <c r="J10" s="2"/>
      <c r="K10" s="2"/>
      <c r="L10" s="2"/>
      <c r="M10" s="2"/>
      <c r="N10" s="2"/>
      <c r="O10" s="2"/>
      <c r="P10" s="2"/>
      <c r="Q10" s="2"/>
      <c r="R10" s="2"/>
      <c r="S10" s="2"/>
      <c r="T10" s="2"/>
    </row>
    <row r="11" spans="1:20" ht="15" customHeight="1">
      <c r="A11" s="2" t="s">
        <v>22</v>
      </c>
      <c r="E11" s="1">
        <v>12393</v>
      </c>
      <c r="F11" s="1" t="s">
        <v>67</v>
      </c>
    </row>
    <row r="12" spans="1:20" ht="15" customHeight="1"/>
    <row r="13" spans="1:20" ht="15" customHeight="1">
      <c r="A13" s="2" t="s">
        <v>23</v>
      </c>
      <c r="E13" s="1">
        <v>144</v>
      </c>
      <c r="F13" s="1" t="s">
        <v>67</v>
      </c>
    </row>
    <row r="14" spans="1:20" ht="15" customHeight="1">
      <c r="A14" s="2"/>
    </row>
    <row r="15" spans="1:20" ht="15" customHeight="1">
      <c r="A15" s="2" t="s">
        <v>24</v>
      </c>
    </row>
    <row r="16" spans="1:20" ht="15" customHeight="1">
      <c r="A16" s="2"/>
    </row>
    <row r="17" spans="1:15" ht="15" customHeight="1">
      <c r="A17" s="2"/>
      <c r="H17" s="1" t="s">
        <v>68</v>
      </c>
    </row>
    <row r="18" spans="1:15" ht="15" customHeight="1">
      <c r="H18" s="12" t="s">
        <v>69</v>
      </c>
      <c r="I18" s="12">
        <v>392.14</v>
      </c>
    </row>
    <row r="19" spans="1:15" ht="15" customHeight="1">
      <c r="H19" s="12" t="s">
        <v>70</v>
      </c>
      <c r="I19" s="12">
        <v>55.844999999999999</v>
      </c>
    </row>
    <row r="20" spans="1:15" ht="15" customHeight="1"/>
    <row r="21" spans="1:15" ht="15" customHeight="1">
      <c r="C21" s="4"/>
      <c r="D21" s="4"/>
      <c r="H21" s="1" t="s">
        <v>71</v>
      </c>
    </row>
    <row r="22" spans="1:15" ht="15" customHeight="1">
      <c r="H22" s="1" t="s">
        <v>72</v>
      </c>
      <c r="J22" s="13">
        <f>E13*I19/I18</f>
        <v>20.507165808129752</v>
      </c>
    </row>
    <row r="23" spans="1:15" ht="15" customHeight="1">
      <c r="H23" s="14" t="s">
        <v>73</v>
      </c>
      <c r="J23" s="15">
        <f>J22/500</f>
        <v>4.1014331616259503E-2</v>
      </c>
    </row>
    <row r="24" spans="1:15" ht="15" customHeight="1">
      <c r="O24" s="1">
        <v>4.1000000000000002E-2</v>
      </c>
    </row>
    <row r="25" spans="1:15" ht="15" customHeight="1"/>
    <row r="26" spans="1:15" ht="15" customHeight="1"/>
    <row r="27" spans="1:15" ht="15" customHeight="1"/>
    <row r="28" spans="1:15" ht="15" customHeight="1"/>
    <row r="29" spans="1:15" ht="15" customHeight="1"/>
    <row r="30" spans="1:15" ht="15" customHeight="1">
      <c r="A30" s="2" t="s">
        <v>25</v>
      </c>
      <c r="B30" s="2"/>
      <c r="C30" s="2"/>
      <c r="D30" s="2"/>
      <c r="E30" s="2"/>
      <c r="F30" s="16">
        <f>J23*25/50</f>
        <v>2.0507165808129751E-2</v>
      </c>
      <c r="G30" s="1" t="s">
        <v>74</v>
      </c>
    </row>
    <row r="31" spans="1:15" ht="15" customHeight="1"/>
    <row r="32" spans="1:15" ht="15" customHeight="1"/>
    <row r="33" spans="1:13" ht="15" customHeight="1">
      <c r="A33" s="2" t="s">
        <v>33</v>
      </c>
      <c r="F33" s="1">
        <f>5*10^(-3)/100</f>
        <v>5.0000000000000002E-5</v>
      </c>
      <c r="G33" s="1" t="s">
        <v>75</v>
      </c>
      <c r="H33" s="1" t="s">
        <v>76</v>
      </c>
    </row>
    <row r="34" spans="1:13" ht="15" customHeight="1">
      <c r="A34" s="2"/>
    </row>
    <row r="35" spans="1:13" ht="15" customHeight="1"/>
    <row r="36" spans="1:13" ht="15" customHeight="1">
      <c r="A36" s="2" t="s">
        <v>3</v>
      </c>
      <c r="F36" s="1" t="s">
        <v>77</v>
      </c>
    </row>
    <row r="37" spans="1:13" ht="15" customHeight="1"/>
    <row r="38" spans="1:13" ht="15" customHeight="1">
      <c r="A38" s="2" t="s">
        <v>26</v>
      </c>
    </row>
    <row r="39" spans="1:13" ht="30" customHeight="1"/>
    <row r="40" spans="1:13" ht="40" customHeight="1">
      <c r="C40" s="6" t="s">
        <v>6</v>
      </c>
      <c r="D40" s="6" t="s">
        <v>5</v>
      </c>
      <c r="E40" s="6" t="s">
        <v>32</v>
      </c>
      <c r="F40" s="6" t="s">
        <v>4</v>
      </c>
      <c r="M40" s="17"/>
    </row>
    <row r="41" spans="1:13" ht="15" customHeight="1">
      <c r="C41" s="18">
        <v>1</v>
      </c>
      <c r="D41" s="19">
        <v>1</v>
      </c>
      <c r="E41" s="20">
        <f>C41*$F$30/25</f>
        <v>8.2028663232519008E-4</v>
      </c>
      <c r="F41" s="21">
        <v>0.156</v>
      </c>
    </row>
    <row r="42" spans="1:13" ht="15" customHeight="1">
      <c r="C42" s="18">
        <v>2</v>
      </c>
      <c r="D42" s="19">
        <v>1</v>
      </c>
      <c r="E42" s="22">
        <f>$F$30*C42/25</f>
        <v>1.6405732646503802E-3</v>
      </c>
      <c r="F42" s="21">
        <v>0.33100000000000002</v>
      </c>
    </row>
    <row r="43" spans="1:13" ht="15" customHeight="1">
      <c r="C43" s="18">
        <v>3</v>
      </c>
      <c r="D43" s="19">
        <v>1</v>
      </c>
      <c r="E43" s="22">
        <f>$F$30*C43/25</f>
        <v>2.4608598969755703E-3</v>
      </c>
      <c r="F43" s="21">
        <v>0.496</v>
      </c>
    </row>
    <row r="44" spans="1:13" ht="15" customHeight="1">
      <c r="C44" s="18">
        <v>4</v>
      </c>
      <c r="D44" s="19">
        <v>1</v>
      </c>
      <c r="E44" s="22">
        <f>$F$30*C44/25</f>
        <v>3.2811465293007603E-3</v>
      </c>
      <c r="F44" s="21">
        <v>0.67500000000000004</v>
      </c>
    </row>
    <row r="45" spans="1:13" ht="15" customHeight="1">
      <c r="C45" s="18">
        <v>5</v>
      </c>
      <c r="D45" s="19">
        <v>1</v>
      </c>
      <c r="E45" s="22">
        <f>$F$30*C45/25</f>
        <v>4.1014331616259503E-3</v>
      </c>
      <c r="F45" s="21">
        <v>0.86799999999999999</v>
      </c>
    </row>
    <row r="46" spans="1:13" ht="15" customHeight="1"/>
    <row r="47" spans="1:13" ht="15" customHeight="1">
      <c r="A47" s="2" t="s">
        <v>14</v>
      </c>
    </row>
    <row r="48" spans="1:13" ht="15" customHeight="1"/>
    <row r="49" spans="1:6" ht="15" customHeight="1">
      <c r="A49" s="2"/>
    </row>
    <row r="50" spans="1:6" ht="15" customHeight="1"/>
    <row r="51" spans="1:6" ht="15" customHeight="1"/>
    <row r="52" spans="1:6" ht="15" customHeight="1"/>
    <row r="53" spans="1:6" ht="15" customHeight="1">
      <c r="C53" s="4"/>
      <c r="D53" s="4"/>
    </row>
    <row r="54" spans="1:6" ht="15" customHeight="1"/>
    <row r="55" spans="1:6" ht="15" customHeight="1"/>
    <row r="56" spans="1:6" ht="15" customHeight="1"/>
    <row r="57" spans="1:6" ht="15" customHeight="1"/>
    <row r="58" spans="1:6" ht="15" customHeight="1"/>
    <row r="59" spans="1:6" ht="15" customHeight="1"/>
    <row r="60" spans="1:6" ht="15" customHeight="1"/>
    <row r="61" spans="1:6" ht="15" customHeight="1">
      <c r="A61" s="2" t="s">
        <v>8</v>
      </c>
    </row>
    <row r="62" spans="1:6" ht="15" customHeight="1">
      <c r="A62" s="2" t="s">
        <v>10</v>
      </c>
      <c r="E62" s="23">
        <f>25*E43/(F33*10^3)</f>
        <v>1.2304299484877852</v>
      </c>
      <c r="F62" s="1" t="s">
        <v>78</v>
      </c>
    </row>
    <row r="63" spans="1:6" ht="15" customHeight="1"/>
    <row r="64" spans="1:6" ht="15" customHeight="1">
      <c r="A64" s="2" t="s">
        <v>9</v>
      </c>
      <c r="E64" s="24">
        <v>1</v>
      </c>
      <c r="F64" s="1" t="s">
        <v>78</v>
      </c>
    </row>
    <row r="65" spans="1:11" ht="15" customHeight="1">
      <c r="E65" s="24"/>
    </row>
    <row r="66" spans="1:11" ht="15" customHeight="1">
      <c r="A66" s="2" t="s">
        <v>11</v>
      </c>
      <c r="E66" s="24">
        <v>2.3E-2</v>
      </c>
    </row>
    <row r="67" spans="1:11" ht="15" customHeight="1">
      <c r="E67" s="24"/>
    </row>
    <row r="68" spans="1:11" ht="15" customHeight="1">
      <c r="A68" s="2" t="s">
        <v>12</v>
      </c>
      <c r="E68" s="24">
        <v>0.45600000000000002</v>
      </c>
    </row>
    <row r="69" spans="1:11" ht="15" customHeight="1">
      <c r="E69" s="24"/>
    </row>
    <row r="70" spans="1:11" ht="15" customHeight="1">
      <c r="A70" s="2" t="s">
        <v>13</v>
      </c>
      <c r="B70" s="2"/>
      <c r="E70" s="24">
        <f>E68-E66</f>
        <v>0.433</v>
      </c>
    </row>
    <row r="71" spans="1:11" ht="15" customHeight="1"/>
    <row r="72" spans="1:11" ht="15" customHeight="1">
      <c r="A72" s="2" t="s">
        <v>27</v>
      </c>
    </row>
    <row r="73" spans="1:11" ht="15" customHeight="1">
      <c r="H73" s="41" t="s">
        <v>79</v>
      </c>
      <c r="I73" s="42"/>
      <c r="J73" s="42"/>
      <c r="K73" s="43"/>
    </row>
    <row r="74" spans="1:11" ht="15" customHeight="1">
      <c r="H74" s="25" t="s">
        <v>80</v>
      </c>
      <c r="I74" s="26" cm="1">
        <f t="array" ref="I74:J78">LINEST(F41:F45,E41:E45,1,1)</f>
        <v>215.53441569423305</v>
      </c>
      <c r="J74" s="27">
        <v>-2.5200000000000111E-2</v>
      </c>
      <c r="K74" s="28" t="s">
        <v>81</v>
      </c>
    </row>
    <row r="75" spans="1:11" ht="15" customHeight="1">
      <c r="H75" s="25" t="s">
        <v>82</v>
      </c>
      <c r="I75" s="26">
        <v>3.4795600765272168</v>
      </c>
      <c r="J75" s="27">
        <v>9.4664319219721679E-3</v>
      </c>
      <c r="K75" s="28" t="s">
        <v>83</v>
      </c>
    </row>
    <row r="76" spans="1:11" ht="15" customHeight="1">
      <c r="H76" s="25" t="s">
        <v>84</v>
      </c>
      <c r="I76" s="27">
        <v>0.99921873701358077</v>
      </c>
      <c r="J76" s="27">
        <v>9.0258886912407098E-3</v>
      </c>
      <c r="K76" s="28" t="s">
        <v>85</v>
      </c>
    </row>
    <row r="77" spans="1:11" ht="15" customHeight="1">
      <c r="H77" s="25" t="s">
        <v>86</v>
      </c>
      <c r="I77" s="26">
        <v>3836.936170212753</v>
      </c>
      <c r="J77" s="28">
        <v>3</v>
      </c>
      <c r="K77" s="28" t="s">
        <v>87</v>
      </c>
    </row>
    <row r="78" spans="1:11" ht="15" customHeight="1">
      <c r="H78" s="25" t="s">
        <v>88</v>
      </c>
      <c r="I78" s="29">
        <v>0.31258240000000004</v>
      </c>
      <c r="J78" s="30">
        <v>2.4440000000000084E-4</v>
      </c>
      <c r="K78" s="28" t="s">
        <v>89</v>
      </c>
    </row>
    <row r="79" spans="1:11" ht="15" customHeight="1"/>
    <row r="80" spans="1:11" ht="15" customHeight="1"/>
    <row r="81" spans="1:11" ht="15" customHeight="1"/>
    <row r="82" spans="1:11" ht="15" customHeight="1"/>
    <row r="83" spans="1:11" ht="15" customHeight="1"/>
    <row r="84" spans="1:11" ht="15" customHeight="1"/>
    <row r="85" spans="1:11" ht="122" customHeight="1"/>
    <row r="86" spans="1:11" ht="15" customHeight="1"/>
    <row r="87" spans="1:11" ht="15" customHeight="1"/>
    <row r="88" spans="1:11" ht="15" customHeight="1">
      <c r="A88" s="2" t="s">
        <v>29</v>
      </c>
      <c r="G88" s="16">
        <f>(E70-J74)/I74</f>
        <v>2.1258785912409623E-3</v>
      </c>
      <c r="H88" s="1" t="s">
        <v>74</v>
      </c>
      <c r="J88" s="31" t="s">
        <v>90</v>
      </c>
      <c r="K88" s="32">
        <f>AVERAGE(F41:F45)</f>
        <v>0.50519999999999998</v>
      </c>
    </row>
    <row r="89" spans="1:11" ht="15" customHeight="1">
      <c r="J89" s="31" t="s">
        <v>91</v>
      </c>
      <c r="K89" s="33">
        <f>VARPA(E41:E45)*5</f>
        <v>6.7287015917140157E-6</v>
      </c>
    </row>
    <row r="90" spans="1:11" ht="15" customHeight="1">
      <c r="J90" s="31" t="s">
        <v>92</v>
      </c>
      <c r="K90" s="33">
        <f>J76/I74*SQRT(1+1/5+((E70-K88)^2)/(I74^2*K89))</f>
        <v>4.6191380379766698E-5</v>
      </c>
    </row>
    <row r="91" spans="1:11" ht="15" customHeight="1">
      <c r="A91" s="2" t="s">
        <v>34</v>
      </c>
      <c r="G91" s="16">
        <f>K91*K90</f>
        <v>1.4700158782554295E-4</v>
      </c>
      <c r="H91" s="1" t="s">
        <v>74</v>
      </c>
      <c r="J91" s="31" t="s">
        <v>93</v>
      </c>
      <c r="K91" s="32">
        <f>_xlfn.T.INV.2T(0.05,J77)</f>
        <v>3.1824463052837091</v>
      </c>
    </row>
    <row r="92" spans="1:11" ht="15" customHeight="1">
      <c r="A92" s="2"/>
    </row>
    <row r="93" spans="1:11" ht="15" customHeight="1"/>
    <row r="94" spans="1:11" ht="15" customHeight="1">
      <c r="A94" s="2" t="s">
        <v>94</v>
      </c>
      <c r="G94" s="34">
        <f>G88*25/E64*100</f>
        <v>5.3146964781024053</v>
      </c>
      <c r="H94" s="35" t="s">
        <v>95</v>
      </c>
      <c r="I94" s="34">
        <f>G91*25/E64*100</f>
        <v>0.36750396956385739</v>
      </c>
      <c r="J94" s="36" t="s">
        <v>96</v>
      </c>
    </row>
    <row r="95" spans="1:11" ht="15" customHeight="1"/>
    <row r="96" spans="1:11" ht="15" customHeight="1">
      <c r="A96" s="2"/>
    </row>
    <row r="97" spans="1:10" ht="15" customHeight="1">
      <c r="A97" s="2" t="s">
        <v>38</v>
      </c>
    </row>
    <row r="98" spans="1:10" ht="15" customHeight="1">
      <c r="A98" s="2"/>
    </row>
    <row r="99" spans="1:10" ht="15" customHeight="1">
      <c r="A99" s="2"/>
      <c r="B99" s="44"/>
      <c r="C99" s="44"/>
      <c r="D99" s="44"/>
      <c r="E99" s="44"/>
      <c r="F99" s="44"/>
      <c r="G99" s="44"/>
      <c r="H99" s="44"/>
      <c r="I99" s="44"/>
      <c r="J99" s="8"/>
    </row>
    <row r="100" spans="1:10" ht="15" customHeight="1">
      <c r="A100" s="2"/>
    </row>
    <row r="101" spans="1:10" ht="15" customHeight="1"/>
    <row r="102" spans="1:10" ht="15" customHeight="1">
      <c r="A102" s="2" t="s">
        <v>39</v>
      </c>
    </row>
    <row r="103" spans="1:10" ht="15" customHeight="1">
      <c r="B103" s="2" t="s">
        <v>37</v>
      </c>
    </row>
    <row r="104" spans="1:10" ht="58" customHeight="1">
      <c r="A104" s="37" t="s">
        <v>21</v>
      </c>
      <c r="B104" s="37" t="s">
        <v>17</v>
      </c>
      <c r="C104" s="37" t="s">
        <v>28</v>
      </c>
      <c r="D104" s="37" t="s">
        <v>18</v>
      </c>
      <c r="E104" s="37" t="s">
        <v>19</v>
      </c>
      <c r="F104" s="37" t="s">
        <v>20</v>
      </c>
    </row>
    <row r="105" spans="1:10" ht="15" customHeight="1">
      <c r="A105" s="75" t="s">
        <v>124</v>
      </c>
      <c r="B105" s="76">
        <f>G94</f>
        <v>5.3146964781024053</v>
      </c>
      <c r="C105" s="76">
        <f>I94</f>
        <v>0.36750396956385739</v>
      </c>
      <c r="D105" s="77">
        <f>AVERAGE(B105:B112)</f>
        <v>4.6989392956204812</v>
      </c>
      <c r="E105" s="74">
        <f>STDEV(B105:B112)</f>
        <v>0.48333377047403714</v>
      </c>
      <c r="F105" s="74">
        <f>E105/D105*100</f>
        <v>10.286018611147313</v>
      </c>
      <c r="H105" s="1" t="s">
        <v>137</v>
      </c>
      <c r="I105" s="1" t="s">
        <v>138</v>
      </c>
    </row>
    <row r="106" spans="1:10" ht="15" customHeight="1">
      <c r="A106" s="75" t="s">
        <v>119</v>
      </c>
      <c r="B106" s="76">
        <v>4.93</v>
      </c>
      <c r="C106" s="76">
        <v>0.37</v>
      </c>
      <c r="D106" s="78"/>
      <c r="E106" s="74"/>
      <c r="F106" s="74"/>
      <c r="H106" s="23">
        <f>(B109-B107)/(B109-B105)</f>
        <v>0.44877278507020019</v>
      </c>
      <c r="I106" s="1">
        <v>0.71</v>
      </c>
    </row>
    <row r="107" spans="1:10" ht="15" customHeight="1">
      <c r="A107" s="75" t="s">
        <v>120</v>
      </c>
      <c r="B107" s="76">
        <v>4.59</v>
      </c>
      <c r="C107" s="76">
        <v>0.3</v>
      </c>
      <c r="D107" s="78"/>
      <c r="E107" s="74"/>
      <c r="F107" s="74"/>
    </row>
    <row r="108" spans="1:10" ht="15" customHeight="1">
      <c r="A108" s="75" t="s">
        <v>121</v>
      </c>
      <c r="B108" s="76">
        <v>4.66</v>
      </c>
      <c r="C108" s="76">
        <v>0.4</v>
      </c>
      <c r="D108" s="78"/>
      <c r="E108" s="74"/>
      <c r="F108" s="74"/>
    </row>
    <row r="109" spans="1:10" ht="15" customHeight="1">
      <c r="A109" s="75" t="s">
        <v>122</v>
      </c>
      <c r="B109" s="76">
        <v>4</v>
      </c>
      <c r="C109" s="76" t="s">
        <v>123</v>
      </c>
      <c r="D109" s="78"/>
      <c r="E109" s="74"/>
      <c r="F109" s="74"/>
    </row>
    <row r="110" spans="1:10" ht="15" customHeight="1">
      <c r="A110" s="47"/>
      <c r="B110" s="47"/>
      <c r="C110" s="47"/>
      <c r="D110" s="78"/>
      <c r="E110" s="74"/>
      <c r="F110" s="74"/>
    </row>
    <row r="111" spans="1:10" ht="15" customHeight="1">
      <c r="A111" s="47"/>
      <c r="B111" s="47"/>
      <c r="C111" s="47"/>
      <c r="D111" s="78"/>
      <c r="E111" s="74"/>
      <c r="F111" s="74"/>
    </row>
    <row r="112" spans="1:10" ht="15" customHeight="1">
      <c r="A112" s="75"/>
      <c r="B112" s="76"/>
      <c r="C112" s="76"/>
      <c r="D112" s="79"/>
      <c r="E112" s="74"/>
      <c r="F112" s="74"/>
    </row>
    <row r="114" spans="1:20" s="2" customFormat="1" ht="23.25" customHeight="1">
      <c r="A114" s="1"/>
      <c r="B114" s="1"/>
      <c r="C114" s="1"/>
      <c r="D114" s="1"/>
      <c r="E114" s="1"/>
      <c r="F114" s="1"/>
      <c r="G114" s="1"/>
      <c r="H114" s="1"/>
      <c r="I114" s="1"/>
      <c r="J114" s="1"/>
      <c r="K114" s="1"/>
      <c r="L114" s="1"/>
      <c r="M114" s="1"/>
      <c r="N114" s="1"/>
      <c r="O114" s="1"/>
      <c r="P114" s="1"/>
      <c r="Q114" s="1"/>
      <c r="R114" s="1"/>
      <c r="S114" s="1"/>
      <c r="T114" s="1"/>
    </row>
    <row r="115" spans="1:20" ht="23.25" customHeight="1">
      <c r="A115" s="2" t="s">
        <v>40</v>
      </c>
      <c r="B115" s="2"/>
      <c r="C115" s="2"/>
      <c r="D115" s="2"/>
      <c r="E115" s="2"/>
      <c r="F115" s="2"/>
      <c r="G115" s="2"/>
      <c r="H115" s="2"/>
      <c r="I115" s="2"/>
      <c r="J115" s="2"/>
      <c r="K115" s="2"/>
      <c r="L115" s="2"/>
      <c r="M115" s="2"/>
      <c r="N115" s="2"/>
      <c r="O115" s="2"/>
      <c r="P115" s="2"/>
      <c r="Q115" s="2"/>
      <c r="R115" s="2"/>
      <c r="S115" s="2"/>
      <c r="T115" s="2"/>
    </row>
    <row r="117" spans="1:20" ht="23.25" customHeight="1">
      <c r="B117" s="11"/>
      <c r="C117" s="11"/>
      <c r="D117" s="11"/>
      <c r="E117" s="11"/>
      <c r="F117" s="11"/>
      <c r="G117" s="11"/>
      <c r="H117" s="11"/>
    </row>
    <row r="118" spans="1:20" ht="23.25" customHeight="1">
      <c r="B118" s="11"/>
      <c r="C118" s="11"/>
      <c r="D118" s="11"/>
      <c r="E118" s="11"/>
      <c r="F118" s="11"/>
      <c r="G118" s="11"/>
      <c r="H118" s="11"/>
      <c r="J118" s="38"/>
    </row>
    <row r="119" spans="1:20" ht="23.25" customHeight="1">
      <c r="B119" s="11"/>
      <c r="C119" s="11"/>
      <c r="D119" s="11"/>
      <c r="E119" s="11"/>
      <c r="F119" s="11"/>
      <c r="G119" s="11"/>
      <c r="H119" s="11"/>
    </row>
    <row r="120" spans="1:20" ht="23.25" customHeight="1">
      <c r="B120" s="11"/>
      <c r="C120" s="11"/>
      <c r="D120" s="11"/>
      <c r="E120" s="11"/>
      <c r="F120" s="11"/>
      <c r="G120" s="11"/>
      <c r="H120" s="11"/>
    </row>
    <row r="121" spans="1:20" ht="23.25" customHeight="1">
      <c r="B121" s="11"/>
      <c r="C121" s="11"/>
      <c r="D121" s="11"/>
      <c r="E121" s="11"/>
      <c r="F121" s="11"/>
      <c r="G121" s="11"/>
      <c r="H121" s="11"/>
    </row>
    <row r="122" spans="1:20" ht="23.25" customHeight="1">
      <c r="B122" s="11"/>
      <c r="C122" s="11"/>
      <c r="D122" s="11"/>
      <c r="E122" s="11"/>
      <c r="F122" s="11"/>
      <c r="G122" s="11"/>
      <c r="H122" s="11"/>
    </row>
    <row r="123" spans="1:20" s="5" customFormat="1" ht="23.25" customHeight="1">
      <c r="A123" s="1"/>
      <c r="B123" s="1"/>
      <c r="C123" s="1"/>
      <c r="D123" s="1"/>
      <c r="E123" s="1"/>
      <c r="F123" s="1"/>
      <c r="G123" s="1"/>
      <c r="H123" s="1"/>
      <c r="I123" s="1"/>
      <c r="J123" s="1"/>
      <c r="K123" s="1"/>
      <c r="L123" s="1"/>
      <c r="M123" s="1"/>
      <c r="N123" s="1"/>
      <c r="O123" s="1"/>
      <c r="P123" s="1"/>
      <c r="Q123" s="1"/>
      <c r="R123" s="1"/>
      <c r="S123" s="1"/>
      <c r="T123" s="1"/>
    </row>
    <row r="124" spans="1:20" s="5" customFormat="1" ht="16.5" customHeight="1">
      <c r="B124" s="5" t="s">
        <v>30</v>
      </c>
    </row>
    <row r="125" spans="1:20" ht="23.25" customHeight="1">
      <c r="A125" s="5"/>
      <c r="B125" s="5" t="s">
        <v>31</v>
      </c>
      <c r="C125" s="5"/>
      <c r="D125" s="5"/>
      <c r="E125" s="5"/>
      <c r="F125" s="5"/>
      <c r="G125" s="5"/>
      <c r="H125" s="5"/>
      <c r="I125" s="5"/>
      <c r="J125" s="5"/>
      <c r="K125" s="5"/>
      <c r="L125" s="5"/>
      <c r="M125" s="5"/>
      <c r="N125" s="5"/>
      <c r="O125" s="5"/>
      <c r="P125" s="5"/>
      <c r="Q125" s="5"/>
      <c r="R125" s="5"/>
      <c r="S125" s="5"/>
      <c r="T125" s="5"/>
    </row>
  </sheetData>
  <mergeCells count="7">
    <mergeCell ref="E105:E112"/>
    <mergeCell ref="F105:F112"/>
    <mergeCell ref="B2:D2"/>
    <mergeCell ref="B3:D3"/>
    <mergeCell ref="H73:K73"/>
    <mergeCell ref="B99:I99"/>
    <mergeCell ref="D105:D112"/>
  </mergeCells>
  <phoneticPr fontId="4" type="noConversion"/>
  <pageMargins left="0.70866141732283472" right="0.70866141732283472" top="0.74803149606299213" bottom="0.74803149606299213" header="0.31496062992125984" footer="0.31496062992125984"/>
  <pageSetup paperSize="9" scale="83" fitToHeight="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H112"/>
  <sheetViews>
    <sheetView showGridLines="0" tabSelected="1" zoomScale="125" zoomScaleNormal="125" workbookViewId="0">
      <selection activeCell="D7" sqref="D7"/>
    </sheetView>
  </sheetViews>
  <sheetFormatPr baseColWidth="10" defaultColWidth="11.5" defaultRowHeight="23.25" customHeight="1"/>
  <cols>
    <col min="1" max="1" width="36.1640625" style="1" customWidth="1"/>
    <col min="2" max="2" width="32.83203125" style="1" customWidth="1"/>
    <col min="3" max="3" width="20.6640625" style="1" customWidth="1"/>
    <col min="4" max="4" width="41.83203125" style="1" customWidth="1"/>
    <col min="5" max="5" width="18.33203125" style="1" customWidth="1"/>
    <col min="6" max="6" width="34.83203125" style="1" customWidth="1"/>
    <col min="7" max="7" width="21.5" style="1" customWidth="1"/>
    <col min="8" max="8" width="45.5" style="1" customWidth="1"/>
    <col min="9" max="9" width="30" style="1" customWidth="1"/>
    <col min="10" max="10" width="31.5" style="1" customWidth="1"/>
    <col min="11" max="11" width="11.5" style="1"/>
    <col min="12" max="12" width="15.1640625" style="1" customWidth="1"/>
    <col min="13" max="14" width="11.5" style="1"/>
    <col min="15" max="15" width="45" style="1" customWidth="1"/>
    <col min="16" max="16" width="22.83203125" style="1" customWidth="1"/>
    <col min="17" max="17" width="11.5" style="1"/>
    <col min="18" max="18" width="20" style="1" customWidth="1"/>
    <col min="19" max="19" width="19.1640625" style="1" customWidth="1"/>
    <col min="20" max="20" width="20" style="1" customWidth="1"/>
    <col min="21" max="21" width="9.1640625" style="1" customWidth="1"/>
    <col min="22" max="16384" width="11.5" style="1"/>
  </cols>
  <sheetData>
    <row r="1" spans="1:8" ht="21" customHeight="1">
      <c r="A1" s="3" t="s">
        <v>16</v>
      </c>
      <c r="E1" s="8" t="s">
        <v>15</v>
      </c>
      <c r="F1" s="9">
        <v>45796</v>
      </c>
    </row>
    <row r="2" spans="1:8" ht="15" customHeight="1">
      <c r="A2" s="8" t="s">
        <v>0</v>
      </c>
      <c r="B2" s="40" t="s">
        <v>63</v>
      </c>
      <c r="C2" s="40"/>
      <c r="D2" s="40"/>
      <c r="E2" s="8" t="s">
        <v>7</v>
      </c>
      <c r="F2" s="10" t="s">
        <v>64</v>
      </c>
    </row>
    <row r="3" spans="1:8" ht="15" customHeight="1">
      <c r="A3" s="8" t="s">
        <v>1</v>
      </c>
      <c r="B3" s="40" t="s">
        <v>65</v>
      </c>
      <c r="C3" s="40"/>
      <c r="D3" s="40"/>
      <c r="E3"/>
      <c r="F3"/>
    </row>
    <row r="4" spans="1:8" ht="15" customHeight="1">
      <c r="A4" s="2"/>
    </row>
    <row r="5" spans="1:8" ht="15" customHeight="1">
      <c r="A5" s="2" t="s">
        <v>51</v>
      </c>
    </row>
    <row r="6" spans="1:8" ht="15" customHeight="1">
      <c r="A6" s="2"/>
    </row>
    <row r="7" spans="1:8" ht="264" customHeight="1">
      <c r="A7" s="2"/>
    </row>
    <row r="8" spans="1:8" ht="15" customHeight="1">
      <c r="A8" s="2" t="s">
        <v>59</v>
      </c>
      <c r="C8" s="1">
        <v>0.16650000000000001</v>
      </c>
    </row>
    <row r="9" spans="1:8" ht="15" customHeight="1">
      <c r="A9" s="2"/>
    </row>
    <row r="10" spans="1:8" ht="15" customHeight="1">
      <c r="A10" s="2" t="s">
        <v>60</v>
      </c>
    </row>
    <row r="11" spans="1:8" ht="15" customHeight="1">
      <c r="A11" s="2"/>
      <c r="E11" s="49" t="s">
        <v>98</v>
      </c>
      <c r="F11" s="49"/>
    </row>
    <row r="12" spans="1:8" ht="15" customHeight="1">
      <c r="A12" s="2"/>
      <c r="E12" s="1" t="s">
        <v>116</v>
      </c>
      <c r="G12" s="13">
        <f>(C8*54.938*10^6)/(169.02*500)</f>
        <v>108.23780617678383</v>
      </c>
      <c r="H12" s="1" t="s">
        <v>97</v>
      </c>
    </row>
    <row r="13" spans="1:8" ht="15" customHeight="1">
      <c r="A13" s="2"/>
      <c r="E13" s="1" t="s">
        <v>117</v>
      </c>
      <c r="G13" s="13">
        <f>G12*50/500</f>
        <v>10.823780617678384</v>
      </c>
      <c r="H13" s="1" t="s">
        <v>97</v>
      </c>
    </row>
    <row r="14" spans="1:8" ht="15" customHeight="1">
      <c r="A14" s="2"/>
    </row>
    <row r="15" spans="1:8" ht="15" customHeight="1">
      <c r="A15" s="2"/>
    </row>
    <row r="16" spans="1:8" ht="15" customHeight="1">
      <c r="A16" s="2"/>
    </row>
    <row r="17" spans="1:9" ht="15" customHeight="1">
      <c r="A17" s="2"/>
    </row>
    <row r="18" spans="1:9" ht="15" customHeight="1">
      <c r="A18" s="2"/>
    </row>
    <row r="19" spans="1:9" ht="15" customHeight="1">
      <c r="A19" s="2"/>
    </row>
    <row r="20" spans="1:9" ht="15" customHeight="1">
      <c r="A20" s="2"/>
    </row>
    <row r="21" spans="1:9" ht="82" customHeight="1">
      <c r="A21" s="2"/>
    </row>
    <row r="22" spans="1:9" ht="15" customHeight="1">
      <c r="A22" s="2"/>
    </row>
    <row r="23" spans="1:9" ht="15" customHeight="1">
      <c r="D23" s="48"/>
      <c r="E23" s="48"/>
      <c r="F23" s="48"/>
    </row>
    <row r="24" spans="1:9" ht="15" customHeight="1">
      <c r="A24" s="2" t="s">
        <v>61</v>
      </c>
      <c r="D24" s="61">
        <f>2*10^(-3)/100</f>
        <v>2.0000000000000002E-5</v>
      </c>
      <c r="E24" s="61" t="s">
        <v>99</v>
      </c>
      <c r="F24" s="48" t="s">
        <v>100</v>
      </c>
    </row>
    <row r="25" spans="1:9" ht="15" customHeight="1">
      <c r="A25" s="2"/>
    </row>
    <row r="26" spans="1:9" ht="15" customHeight="1"/>
    <row r="27" spans="1:9" ht="15" customHeight="1">
      <c r="A27" s="2" t="s">
        <v>62</v>
      </c>
      <c r="D27" s="47" t="s">
        <v>101</v>
      </c>
      <c r="E27" s="47">
        <f>'C1'!F30*10^3</f>
        <v>20.507165808129752</v>
      </c>
      <c r="F27" s="47" t="s">
        <v>97</v>
      </c>
    </row>
    <row r="28" spans="1:9" ht="15" customHeight="1"/>
    <row r="29" spans="1:9" ht="23.25" customHeight="1">
      <c r="A29" s="7" t="s">
        <v>102</v>
      </c>
      <c r="B29" s="7" t="s">
        <v>42</v>
      </c>
      <c r="C29" s="7" t="s">
        <v>41</v>
      </c>
      <c r="D29" s="7" t="s">
        <v>108</v>
      </c>
      <c r="F29" s="7" t="s">
        <v>102</v>
      </c>
      <c r="G29" s="7" t="s">
        <v>52</v>
      </c>
      <c r="H29" s="7" t="s">
        <v>41</v>
      </c>
      <c r="I29" s="7" t="s">
        <v>108</v>
      </c>
    </row>
    <row r="30" spans="1:9" ht="23.25" customHeight="1">
      <c r="A30" s="47">
        <v>1</v>
      </c>
      <c r="B30" s="50">
        <f>$E$27*A30/25</f>
        <v>0.82028663232519006</v>
      </c>
      <c r="C30" s="47">
        <v>6.7400000000000002E-2</v>
      </c>
      <c r="D30" s="47">
        <v>0.5</v>
      </c>
      <c r="F30" s="47">
        <v>2</v>
      </c>
      <c r="G30" s="60">
        <f>2*$G$13/25</f>
        <v>0.86590244941427075</v>
      </c>
      <c r="H30" s="47">
        <v>0.16324</v>
      </c>
      <c r="I30" s="47">
        <v>1.1000000000000001</v>
      </c>
    </row>
    <row r="31" spans="1:9" ht="23.25" customHeight="1">
      <c r="A31" s="47">
        <v>2</v>
      </c>
      <c r="B31" s="50">
        <f>$E$27*A31/25</f>
        <v>1.6405732646503801</v>
      </c>
      <c r="C31" s="47">
        <v>0.1212</v>
      </c>
      <c r="D31" s="47">
        <v>1.5</v>
      </c>
      <c r="F31" s="47">
        <v>4</v>
      </c>
      <c r="G31" s="60">
        <f>4*$G$13/25</f>
        <v>1.7318048988285415</v>
      </c>
      <c r="H31" s="47">
        <v>0.3206</v>
      </c>
      <c r="I31" s="47">
        <v>0.7</v>
      </c>
    </row>
    <row r="32" spans="1:9" ht="23.25" customHeight="1">
      <c r="A32" s="47">
        <v>3</v>
      </c>
      <c r="B32" s="50">
        <f>$E$27*A32/25</f>
        <v>2.4608598969755699</v>
      </c>
      <c r="C32" s="47">
        <v>0.1701</v>
      </c>
      <c r="D32" s="47">
        <v>1.2</v>
      </c>
      <c r="F32" s="47">
        <v>6</v>
      </c>
      <c r="G32" s="60">
        <f>6*$G$13/25</f>
        <v>2.5977073482428126</v>
      </c>
      <c r="H32" s="47">
        <v>0.46600000000000003</v>
      </c>
      <c r="I32" s="47">
        <v>0.7</v>
      </c>
    </row>
    <row r="33" spans="1:21" ht="23.25" customHeight="1">
      <c r="A33" s="47">
        <v>4</v>
      </c>
      <c r="B33" s="50">
        <f>$E$27*A33/25</f>
        <v>3.2811465293007602</v>
      </c>
      <c r="C33" s="47">
        <v>0.20930000000000001</v>
      </c>
      <c r="D33" s="47">
        <v>0.8</v>
      </c>
      <c r="F33" s="47">
        <v>8</v>
      </c>
      <c r="G33" s="60">
        <f>8*$G$13/25</f>
        <v>3.463609797657083</v>
      </c>
      <c r="H33" s="47">
        <v>0.60580000000000001</v>
      </c>
      <c r="I33" s="47">
        <v>1.9</v>
      </c>
    </row>
    <row r="34" spans="1:21" ht="23.25" customHeight="1">
      <c r="A34" s="47">
        <v>5</v>
      </c>
      <c r="B34" s="50">
        <f>$E$27*A34/25</f>
        <v>4.101433161625951</v>
      </c>
      <c r="C34" s="47">
        <v>0.25700000000000001</v>
      </c>
      <c r="D34" s="47">
        <v>1</v>
      </c>
      <c r="F34" s="47">
        <v>10</v>
      </c>
      <c r="G34" s="60">
        <f>10*$G$13/25</f>
        <v>4.329512247071353</v>
      </c>
      <c r="H34" s="47">
        <v>0.73870000000000002</v>
      </c>
      <c r="I34" s="47">
        <v>0.4</v>
      </c>
    </row>
    <row r="35" spans="1:21" ht="23.25" customHeight="1">
      <c r="D35" s="4"/>
    </row>
    <row r="36" spans="1:21" ht="15" customHeight="1">
      <c r="A36" s="2" t="s">
        <v>53</v>
      </c>
    </row>
    <row r="37" spans="1:21" ht="15" customHeight="1">
      <c r="F37" s="46" t="s">
        <v>103</v>
      </c>
      <c r="G37" s="46"/>
      <c r="S37" s="46" t="s">
        <v>111</v>
      </c>
      <c r="T37" s="46"/>
    </row>
    <row r="38" spans="1:21" ht="15" customHeight="1">
      <c r="E38" s="51" t="s">
        <v>80</v>
      </c>
      <c r="F38" s="47" cm="1">
        <f t="array" ref="F38:G42">LINEST(C30:C34,B30:B34,TRUE,TRUE)</f>
        <v>5.6967891659454227E-2</v>
      </c>
      <c r="G38" s="47">
        <v>2.4810000000000026E-2</v>
      </c>
      <c r="H38" s="31" t="s">
        <v>105</v>
      </c>
      <c r="R38" s="51" t="s">
        <v>80</v>
      </c>
      <c r="S38" s="47" cm="1">
        <f t="array" ref="S38:T42">LINEST(H30:H34,G30:G34,TRUE,TRUE)</f>
        <v>0.16585240069149201</v>
      </c>
      <c r="T38" s="47">
        <v>2.8031999999999946E-2</v>
      </c>
      <c r="U38" s="31" t="s">
        <v>105</v>
      </c>
    </row>
    <row r="39" spans="1:21" ht="15" customHeight="1">
      <c r="E39" s="51" t="s">
        <v>82</v>
      </c>
      <c r="F39" s="47">
        <v>1.7207548384255578E-3</v>
      </c>
      <c r="G39" s="47">
        <v>4.6814563261162153E-3</v>
      </c>
      <c r="H39" s="31" t="s">
        <v>106</v>
      </c>
      <c r="R39" s="51" t="s">
        <v>82</v>
      </c>
      <c r="S39" s="47">
        <v>3.0967818818794525E-3</v>
      </c>
      <c r="T39" s="47">
        <v>8.8935659140001525E-3</v>
      </c>
      <c r="U39" s="31" t="s">
        <v>106</v>
      </c>
    </row>
    <row r="40" spans="1:21" ht="15" customHeight="1">
      <c r="E40" s="51" t="s">
        <v>84</v>
      </c>
      <c r="F40" s="47">
        <v>0.99727031927185372</v>
      </c>
      <c r="G40" s="47">
        <v>4.4635934701389244E-3</v>
      </c>
      <c r="H40" s="31" t="s">
        <v>85</v>
      </c>
      <c r="R40" s="51" t="s">
        <v>84</v>
      </c>
      <c r="S40" s="47">
        <v>0.99895517161018732</v>
      </c>
      <c r="T40" s="47">
        <v>8.4796823839889263E-3</v>
      </c>
      <c r="U40" s="31" t="s">
        <v>85</v>
      </c>
    </row>
    <row r="41" spans="1:21" ht="15" customHeight="1">
      <c r="E41" s="51" t="s">
        <v>86</v>
      </c>
      <c r="F41" s="47">
        <v>1096.0296297535497</v>
      </c>
      <c r="G41" s="47">
        <v>3</v>
      </c>
      <c r="H41" s="31" t="s">
        <v>87</v>
      </c>
      <c r="R41" s="51" t="s">
        <v>86</v>
      </c>
      <c r="S41" s="47">
        <v>2868.284920328274</v>
      </c>
      <c r="T41" s="47">
        <v>3</v>
      </c>
      <c r="U41" s="31" t="s">
        <v>87</v>
      </c>
    </row>
    <row r="42" spans="1:21" ht="15" customHeight="1">
      <c r="E42" s="53" t="s">
        <v>88</v>
      </c>
      <c r="F42" s="47">
        <v>2.1836929000000001E-2</v>
      </c>
      <c r="G42" s="47">
        <v>5.9771000000000543E-5</v>
      </c>
      <c r="H42" s="31" t="s">
        <v>89</v>
      </c>
      <c r="R42" s="53" t="s">
        <v>88</v>
      </c>
      <c r="S42" s="47">
        <v>0.20624406544000001</v>
      </c>
      <c r="T42" s="47">
        <v>2.1571503999999637E-4</v>
      </c>
      <c r="U42" s="31" t="s">
        <v>89</v>
      </c>
    </row>
    <row r="43" spans="1:21" ht="15" customHeight="1"/>
    <row r="44" spans="1:21" ht="15" customHeight="1">
      <c r="E44" s="51" t="s">
        <v>81</v>
      </c>
      <c r="F44" s="47">
        <f>COUNT(B30:B34)</f>
        <v>5</v>
      </c>
      <c r="R44" s="51" t="s">
        <v>81</v>
      </c>
      <c r="S44" s="47">
        <f>COUNT(G30:G34)</f>
        <v>5</v>
      </c>
    </row>
    <row r="45" spans="1:21" ht="15" customHeight="1">
      <c r="E45" s="51" t="s">
        <v>107</v>
      </c>
      <c r="F45" s="47">
        <f>AVERAGE(C30:C34)</f>
        <v>0.16500000000000001</v>
      </c>
      <c r="R45" s="51" t="s">
        <v>107</v>
      </c>
      <c r="S45" s="47">
        <f>AVERAGE(H30:H34)</f>
        <v>0.458868</v>
      </c>
    </row>
    <row r="46" spans="1:21" ht="15" customHeight="1">
      <c r="E46" s="51" t="s">
        <v>104</v>
      </c>
      <c r="F46" s="47">
        <f>VARPA(B30:B34)*F44</f>
        <v>6.7287015917140192</v>
      </c>
      <c r="R46" s="51" t="s">
        <v>104</v>
      </c>
      <c r="S46" s="47">
        <f>VARPA(G30:G34)*S44</f>
        <v>7.4978705190163346</v>
      </c>
    </row>
    <row r="47" spans="1:21" ht="15" customHeight="1">
      <c r="E47" s="51" t="s">
        <v>93</v>
      </c>
      <c r="F47" s="52">
        <f>_xlfn.T.INV.2T(0.05,G41)</f>
        <v>3.1824463052837091</v>
      </c>
      <c r="R47" s="51" t="s">
        <v>93</v>
      </c>
      <c r="S47" s="52">
        <f>_xlfn.T.INV.2T(0.05,T41)</f>
        <v>3.1824463052837091</v>
      </c>
    </row>
    <row r="48" spans="1:21" ht="15" customHeight="1"/>
    <row r="49" spans="1:14" ht="15" customHeight="1"/>
    <row r="50" spans="1:14" ht="15" customHeight="1"/>
    <row r="51" spans="1:14" ht="123" customHeight="1"/>
    <row r="52" spans="1:14" ht="15" customHeight="1">
      <c r="A52" s="2" t="s">
        <v>43</v>
      </c>
      <c r="B52" s="62" t="s">
        <v>112</v>
      </c>
      <c r="C52" s="62" t="s">
        <v>109</v>
      </c>
      <c r="D52" s="62" t="s">
        <v>110</v>
      </c>
      <c r="E52" s="54"/>
      <c r="F52" s="62" t="s">
        <v>114</v>
      </c>
      <c r="G52" s="62" t="s">
        <v>109</v>
      </c>
      <c r="H52" s="62" t="s">
        <v>113</v>
      </c>
      <c r="M52" s="58"/>
      <c r="N52" s="54"/>
    </row>
    <row r="53" spans="1:14" ht="15" customHeight="1">
      <c r="A53" s="2" t="s">
        <v>54</v>
      </c>
      <c r="B53" s="47">
        <v>0.15379999999999999</v>
      </c>
      <c r="C53" s="63">
        <v>0.4</v>
      </c>
      <c r="D53" s="64">
        <f>(B53-G38)/F38</f>
        <v>2.2642579221833139</v>
      </c>
      <c r="E53" s="54"/>
      <c r="F53" s="47">
        <v>0.1938</v>
      </c>
      <c r="G53" s="47">
        <v>1</v>
      </c>
      <c r="H53" s="64">
        <f>(F53-T38)/S38</f>
        <v>0.99949110961831078</v>
      </c>
      <c r="M53" s="59"/>
      <c r="N53" s="56"/>
    </row>
    <row r="54" spans="1:14" ht="15" customHeight="1">
      <c r="E54" s="54"/>
      <c r="F54" s="55"/>
      <c r="G54" s="55"/>
      <c r="H54" s="54"/>
      <c r="I54" s="54"/>
      <c r="J54" s="54"/>
      <c r="K54" s="58"/>
      <c r="L54" s="58"/>
      <c r="M54" s="54"/>
      <c r="N54" s="54"/>
    </row>
    <row r="55" spans="1:14" ht="15" customHeight="1">
      <c r="A55" s="2" t="s">
        <v>57</v>
      </c>
      <c r="C55" s="7" t="s">
        <v>92</v>
      </c>
      <c r="D55" s="47" t="s">
        <v>115</v>
      </c>
      <c r="E55" s="54"/>
      <c r="F55" s="7" t="s">
        <v>92</v>
      </c>
      <c r="G55" s="47" t="s">
        <v>115</v>
      </c>
      <c r="H55" s="54"/>
      <c r="I55" s="54"/>
      <c r="J55" s="54"/>
      <c r="K55" s="57"/>
      <c r="L55" s="57"/>
      <c r="M55" s="54"/>
      <c r="N55" s="54"/>
    </row>
    <row r="56" spans="1:14" ht="15" customHeight="1">
      <c r="A56" s="2" t="s">
        <v>58</v>
      </c>
      <c r="C56" s="65">
        <f>G39/F38*SQRT(1+1/F44+(B53-F45)^2/(F38^2*F46))</f>
        <v>9.0235713284804717E-2</v>
      </c>
      <c r="D56" s="32">
        <f>C56*F47</f>
        <v>0.28717031234786689</v>
      </c>
      <c r="F56" s="65">
        <f>T39/S38*SQRT(1+1/S44+(F53-S45)^2/(S38^2*S46))</f>
        <v>6.6559323030329923E-2</v>
      </c>
      <c r="G56" s="65">
        <f>F56*S47</f>
        <v>0.21182147166005835</v>
      </c>
    </row>
    <row r="57" spans="1:14" ht="15" customHeight="1"/>
    <row r="58" spans="1:14" ht="15" customHeight="1">
      <c r="A58" s="2" t="s">
        <v>55</v>
      </c>
      <c r="C58" s="65">
        <f>D53*100/4.8*0.1</f>
        <v>4.717204004548571</v>
      </c>
      <c r="D58" s="67" t="s">
        <v>95</v>
      </c>
      <c r="E58" s="68">
        <f>D56*100/4.8*0.1</f>
        <v>0.59827148405805608</v>
      </c>
    </row>
    <row r="59" spans="1:14" ht="15" customHeight="1">
      <c r="A59" s="2" t="s">
        <v>56</v>
      </c>
      <c r="C59" s="65">
        <f>H53*50/2.5*0.1</f>
        <v>1.9989822192366216</v>
      </c>
      <c r="D59" s="67" t="s">
        <v>95</v>
      </c>
      <c r="E59" s="68">
        <f>G56*50/2.5*0.1</f>
        <v>0.4236429433201167</v>
      </c>
    </row>
    <row r="60" spans="1:14" ht="15" customHeight="1"/>
    <row r="61" spans="1:14" ht="15" customHeight="1">
      <c r="A61" s="2" t="s">
        <v>44</v>
      </c>
    </row>
    <row r="62" spans="1:14" ht="15" customHeight="1">
      <c r="A62" s="2"/>
    </row>
    <row r="63" spans="1:14" ht="15" customHeight="1">
      <c r="A63" s="2"/>
    </row>
    <row r="64" spans="1:14" ht="15" customHeight="1">
      <c r="A64" s="2"/>
    </row>
    <row r="65" spans="1:6" ht="64" customHeight="1">
      <c r="A65" s="2"/>
    </row>
    <row r="66" spans="1:6" ht="15" customHeight="1"/>
    <row r="67" spans="1:6" ht="15" customHeight="1">
      <c r="A67" s="2" t="s">
        <v>46</v>
      </c>
    </row>
    <row r="68" spans="1:6" ht="15" customHeight="1">
      <c r="B68" s="2" t="s">
        <v>37</v>
      </c>
    </row>
    <row r="69" spans="1:6" ht="15" customHeight="1">
      <c r="B69" s="2"/>
    </row>
    <row r="70" spans="1:6" ht="58" customHeight="1">
      <c r="A70" s="37" t="s">
        <v>21</v>
      </c>
      <c r="B70" s="37" t="s">
        <v>17</v>
      </c>
      <c r="C70" s="37" t="s">
        <v>28</v>
      </c>
      <c r="D70" s="37" t="s">
        <v>18</v>
      </c>
      <c r="E70" s="37" t="s">
        <v>19</v>
      </c>
      <c r="F70" s="37" t="s">
        <v>20</v>
      </c>
    </row>
    <row r="71" spans="1:6" ht="15" customHeight="1">
      <c r="A71" s="6" t="s">
        <v>118</v>
      </c>
      <c r="B71" s="69">
        <f>C58</f>
        <v>4.717204004548571</v>
      </c>
      <c r="C71" s="69">
        <f>E58</f>
        <v>0.59827148405805608</v>
      </c>
      <c r="D71" s="70">
        <f>AVERAGE(B71:B78)</f>
        <v>4.8514408009097139</v>
      </c>
      <c r="E71" s="73">
        <f>STDEV(B71:B78)</f>
        <v>0.2018813988903069</v>
      </c>
      <c r="F71" s="39">
        <f>E71/D71*100</f>
        <v>4.1612668725639459</v>
      </c>
    </row>
    <row r="72" spans="1:6" ht="15" customHeight="1">
      <c r="A72" s="71" t="s">
        <v>119</v>
      </c>
      <c r="B72" s="72">
        <v>4.8899999999999997</v>
      </c>
      <c r="C72" s="72">
        <v>0.42</v>
      </c>
      <c r="D72" s="45"/>
      <c r="E72" s="73"/>
      <c r="F72" s="39"/>
    </row>
    <row r="73" spans="1:6" ht="15" customHeight="1">
      <c r="A73" s="71" t="s">
        <v>120</v>
      </c>
      <c r="B73" s="72">
        <v>4.58</v>
      </c>
      <c r="C73" s="72">
        <v>0.18</v>
      </c>
      <c r="D73" s="45"/>
      <c r="E73" s="73"/>
      <c r="F73" s="39"/>
    </row>
    <row r="74" spans="1:6" ht="15" customHeight="1">
      <c r="A74" s="71" t="s">
        <v>121</v>
      </c>
      <c r="B74" s="72">
        <v>5</v>
      </c>
      <c r="C74" s="72">
        <v>0.9</v>
      </c>
      <c r="D74" s="45"/>
      <c r="E74" s="73"/>
      <c r="F74" s="39"/>
    </row>
    <row r="75" spans="1:6" ht="15" customHeight="1">
      <c r="A75" s="71" t="s">
        <v>122</v>
      </c>
      <c r="B75" s="72">
        <v>5.07</v>
      </c>
      <c r="C75" s="72">
        <v>0.3</v>
      </c>
      <c r="D75" s="45"/>
      <c r="E75" s="73"/>
      <c r="F75" s="39"/>
    </row>
    <row r="76" spans="1:6" ht="15" customHeight="1">
      <c r="A76" s="47"/>
      <c r="B76" s="47"/>
      <c r="C76" s="47"/>
      <c r="D76" s="45"/>
      <c r="E76" s="73"/>
      <c r="F76" s="39"/>
    </row>
    <row r="77" spans="1:6" ht="15" customHeight="1">
      <c r="A77" s="47"/>
      <c r="B77" s="47"/>
      <c r="C77" s="47"/>
      <c r="D77" s="45"/>
      <c r="E77" s="73"/>
      <c r="F77" s="39"/>
    </row>
    <row r="78" spans="1:6" ht="15" customHeight="1">
      <c r="A78" s="6"/>
      <c r="B78" s="6"/>
      <c r="C78" s="6"/>
      <c r="D78" s="45"/>
      <c r="E78" s="73"/>
      <c r="F78" s="39"/>
    </row>
    <row r="79" spans="1:6" ht="16.5" customHeight="1"/>
    <row r="80" spans="1:6" s="2" customFormat="1" ht="16" customHeight="1">
      <c r="A80" s="2" t="s">
        <v>48</v>
      </c>
    </row>
    <row r="81" spans="1:34" ht="23.25" customHeight="1">
      <c r="C81" s="2"/>
    </row>
    <row r="84" spans="1:34" ht="59" customHeight="1">
      <c r="N84" s="82"/>
      <c r="O84" s="82"/>
      <c r="P84" s="82"/>
      <c r="Q84" s="82"/>
      <c r="R84" s="82"/>
      <c r="S84" s="82"/>
      <c r="T84" s="82"/>
      <c r="U84" s="82"/>
      <c r="V84" s="82"/>
      <c r="W84" s="82"/>
      <c r="X84" s="82"/>
      <c r="Y84" s="82"/>
      <c r="Z84" s="82"/>
      <c r="AA84" s="82"/>
    </row>
    <row r="85" spans="1:34" s="2" customFormat="1" ht="21" customHeight="1">
      <c r="A85" s="2" t="s">
        <v>47</v>
      </c>
      <c r="H85" s="47" t="s">
        <v>128</v>
      </c>
      <c r="I85" s="47" t="s">
        <v>130</v>
      </c>
      <c r="J85" s="47">
        <v>2</v>
      </c>
      <c r="K85" s="47">
        <v>3</v>
      </c>
      <c r="L85" s="47">
        <v>4</v>
      </c>
      <c r="M85" s="47">
        <v>5</v>
      </c>
      <c r="N85" s="83"/>
      <c r="O85" s="47" t="s">
        <v>129</v>
      </c>
      <c r="P85" s="47" t="s">
        <v>130</v>
      </c>
      <c r="Q85" s="47">
        <v>2</v>
      </c>
      <c r="R85" s="47">
        <v>3</v>
      </c>
      <c r="S85" s="47">
        <v>4</v>
      </c>
      <c r="T85" s="47">
        <v>5</v>
      </c>
      <c r="U85" s="82"/>
      <c r="V85" s="82"/>
      <c r="W85" s="82"/>
      <c r="X85" s="82"/>
      <c r="Y85" s="82"/>
      <c r="Z85" s="82"/>
      <c r="AA85" s="82"/>
      <c r="AB85" s="82"/>
      <c r="AC85" s="82"/>
      <c r="AD85" s="82"/>
      <c r="AE85" s="82"/>
      <c r="AF85" s="82"/>
      <c r="AG85" s="82"/>
      <c r="AH85" s="82"/>
    </row>
    <row r="86" spans="1:34" s="2" customFormat="1" ht="21" customHeight="1">
      <c r="A86" s="2" t="s">
        <v>36</v>
      </c>
      <c r="H86" s="47" t="s">
        <v>131</v>
      </c>
      <c r="I86" s="47">
        <v>39.863460000000003</v>
      </c>
      <c r="J86" s="47">
        <v>49.5</v>
      </c>
      <c r="K86" s="47">
        <v>53.593240000000002</v>
      </c>
      <c r="L86" s="47">
        <v>55.83296</v>
      </c>
      <c r="M86" s="47">
        <v>57.240079999999999</v>
      </c>
      <c r="N86" s="83"/>
      <c r="O86" s="47" t="s">
        <v>131</v>
      </c>
      <c r="P86" s="47">
        <v>161.44759999999999</v>
      </c>
      <c r="Q86" s="47">
        <v>199.5</v>
      </c>
      <c r="R86" s="47">
        <v>215.7073</v>
      </c>
      <c r="S86" s="47">
        <v>224.58320000000001</v>
      </c>
      <c r="T86" s="47">
        <v>230.1619</v>
      </c>
      <c r="U86" s="83"/>
      <c r="V86" s="83"/>
      <c r="W86" s="83"/>
      <c r="X86" s="83"/>
      <c r="Y86" s="83"/>
      <c r="Z86" s="83"/>
      <c r="AA86" s="83"/>
      <c r="AB86" s="83"/>
      <c r="AC86" s="83"/>
      <c r="AD86" s="83"/>
      <c r="AE86" s="83"/>
      <c r="AF86" s="83"/>
      <c r="AG86" s="83"/>
      <c r="AH86" s="83"/>
    </row>
    <row r="87" spans="1:34" s="2" customFormat="1" ht="21" customHeight="1">
      <c r="A87" s="61" t="s">
        <v>127</v>
      </c>
      <c r="B87" s="80">
        <f>'C1'!J76</f>
        <v>9.0258886912407098E-3</v>
      </c>
      <c r="D87" s="47" t="s">
        <v>132</v>
      </c>
      <c r="E87" s="47">
        <f>K88</f>
        <v>5.3907699999999998</v>
      </c>
      <c r="H87" s="47">
        <v>2</v>
      </c>
      <c r="I87" s="47">
        <v>8.5263200000000001</v>
      </c>
      <c r="J87" s="47">
        <v>9</v>
      </c>
      <c r="K87" s="47">
        <v>9.1617899999999999</v>
      </c>
      <c r="L87" s="47">
        <v>9.2434200000000004</v>
      </c>
      <c r="M87" s="47">
        <v>9.2926300000000008</v>
      </c>
      <c r="N87" s="83"/>
      <c r="O87" s="47">
        <v>2</v>
      </c>
      <c r="P87" s="47">
        <v>18.512799999999999</v>
      </c>
      <c r="Q87" s="47">
        <v>19</v>
      </c>
      <c r="R87" s="47">
        <v>19.164300000000001</v>
      </c>
      <c r="S87" s="47">
        <v>19.2468</v>
      </c>
      <c r="T87" s="47">
        <v>19.296399999999998</v>
      </c>
      <c r="U87" s="83"/>
      <c r="V87" s="83"/>
      <c r="W87" s="83"/>
      <c r="X87" s="83"/>
      <c r="Y87" s="83"/>
      <c r="Z87" s="83"/>
      <c r="AA87" s="83"/>
      <c r="AB87" s="83"/>
      <c r="AC87" s="83"/>
      <c r="AD87" s="83"/>
      <c r="AE87" s="83"/>
      <c r="AF87" s="83"/>
      <c r="AG87" s="83"/>
      <c r="AH87" s="83"/>
    </row>
    <row r="88" spans="1:34" s="2" customFormat="1" ht="21" customHeight="1">
      <c r="A88" s="61" t="s">
        <v>126</v>
      </c>
      <c r="B88" s="80">
        <f>G40</f>
        <v>4.4635934701389244E-3</v>
      </c>
      <c r="D88" s="47" t="s">
        <v>133</v>
      </c>
      <c r="E88" s="47">
        <f>R88</f>
        <v>9.2766000000000002</v>
      </c>
      <c r="H88" s="47">
        <v>3</v>
      </c>
      <c r="I88" s="47">
        <v>5.5383199999999997</v>
      </c>
      <c r="J88" s="47">
        <v>5.4623799999999996</v>
      </c>
      <c r="K88" s="47">
        <v>5.3907699999999998</v>
      </c>
      <c r="L88" s="47">
        <v>5.3426400000000003</v>
      </c>
      <c r="M88" s="47">
        <v>5.3091600000000003</v>
      </c>
      <c r="N88" s="83"/>
      <c r="O88" s="47">
        <v>3</v>
      </c>
      <c r="P88" s="47">
        <v>10.128</v>
      </c>
      <c r="Q88" s="47">
        <v>9.5520999999999994</v>
      </c>
      <c r="R88" s="47">
        <v>9.2766000000000002</v>
      </c>
      <c r="S88" s="47">
        <v>9.1172000000000004</v>
      </c>
      <c r="T88" s="47">
        <v>9.0135000000000005</v>
      </c>
      <c r="U88" s="83"/>
      <c r="V88" s="83"/>
      <c r="W88" s="83"/>
      <c r="X88" s="83"/>
      <c r="Y88" s="83"/>
      <c r="Z88" s="83"/>
      <c r="AA88" s="83"/>
      <c r="AB88" s="83"/>
      <c r="AC88" s="83"/>
      <c r="AD88" s="83"/>
      <c r="AE88" s="83"/>
      <c r="AF88" s="83"/>
      <c r="AG88" s="83"/>
      <c r="AH88" s="83"/>
    </row>
    <row r="89" spans="1:34" s="2" customFormat="1" ht="21" customHeight="1">
      <c r="A89" s="61" t="s">
        <v>125</v>
      </c>
      <c r="B89" s="81">
        <f>B87^2/B88^2</f>
        <v>4.0889394522427027</v>
      </c>
      <c r="H89" s="47">
        <v>4</v>
      </c>
      <c r="I89" s="47">
        <v>4.5447699999999998</v>
      </c>
      <c r="J89" s="47">
        <v>4.32456</v>
      </c>
      <c r="K89" s="47">
        <v>4.1908599999999998</v>
      </c>
      <c r="L89" s="47">
        <v>4.1072499999999996</v>
      </c>
      <c r="M89" s="47">
        <v>4.0505800000000001</v>
      </c>
      <c r="N89" s="83"/>
      <c r="O89" s="47">
        <v>4</v>
      </c>
      <c r="P89" s="47">
        <v>7.7085999999999997</v>
      </c>
      <c r="Q89" s="47">
        <v>6.9443000000000001</v>
      </c>
      <c r="R89" s="47">
        <v>6.5914000000000001</v>
      </c>
      <c r="S89" s="47">
        <v>6.3882000000000003</v>
      </c>
      <c r="T89" s="47">
        <v>6.2561</v>
      </c>
      <c r="U89" s="83"/>
      <c r="V89" s="83"/>
      <c r="W89" s="83"/>
      <c r="X89" s="83"/>
      <c r="Y89" s="83"/>
      <c r="Z89" s="83"/>
      <c r="AA89" s="83"/>
      <c r="AB89" s="83"/>
      <c r="AC89" s="83"/>
      <c r="AD89" s="83"/>
      <c r="AE89" s="83"/>
      <c r="AF89" s="83"/>
      <c r="AG89" s="83"/>
      <c r="AH89" s="83"/>
    </row>
    <row r="90" spans="1:34" s="2" customFormat="1" ht="21" customHeight="1">
      <c r="H90" s="47">
        <v>5</v>
      </c>
      <c r="I90" s="47">
        <v>4.0604199999999997</v>
      </c>
      <c r="J90" s="47">
        <v>3.7797200000000002</v>
      </c>
      <c r="K90" s="47">
        <v>3.6194799999999998</v>
      </c>
      <c r="L90" s="47">
        <v>3.5202</v>
      </c>
      <c r="M90" s="47">
        <v>3.4529800000000002</v>
      </c>
      <c r="O90" s="47">
        <v>5</v>
      </c>
      <c r="P90" s="47">
        <v>6.6078999999999999</v>
      </c>
      <c r="Q90" s="47">
        <v>5.7861000000000002</v>
      </c>
      <c r="R90" s="47">
        <v>5.4095000000000004</v>
      </c>
      <c r="S90" s="47">
        <v>5.1921999999999997</v>
      </c>
      <c r="T90" s="47">
        <v>5.0503</v>
      </c>
      <c r="U90" s="83"/>
      <c r="V90" s="83"/>
      <c r="W90" s="83"/>
      <c r="X90" s="83"/>
      <c r="Y90" s="83"/>
      <c r="Z90" s="83"/>
      <c r="AA90" s="83"/>
      <c r="AB90" s="83"/>
      <c r="AC90" s="83"/>
      <c r="AD90" s="83"/>
      <c r="AE90" s="83"/>
      <c r="AF90" s="83"/>
      <c r="AG90" s="83"/>
      <c r="AH90" s="83"/>
    </row>
    <row r="91" spans="1:34" s="2" customFormat="1" ht="101" customHeight="1">
      <c r="A91" s="2" t="s">
        <v>49</v>
      </c>
      <c r="I91" s="1"/>
      <c r="J91" s="1"/>
      <c r="K91" s="1"/>
      <c r="L91" s="1"/>
      <c r="M91" s="1"/>
      <c r="N91" s="1"/>
      <c r="O91" s="1"/>
      <c r="P91" s="1"/>
    </row>
    <row r="92" spans="1:34" s="2" customFormat="1" ht="21" customHeight="1">
      <c r="I92" s="47" t="s">
        <v>134</v>
      </c>
      <c r="J92" s="47" t="s">
        <v>135</v>
      </c>
      <c r="K92" s="47" t="s">
        <v>136</v>
      </c>
      <c r="M92" s="84" t="s">
        <v>139</v>
      </c>
      <c r="N92" s="1"/>
      <c r="O92" s="1"/>
      <c r="P92" s="85" t="s">
        <v>81</v>
      </c>
      <c r="Q92" s="47">
        <f>COUNT(J93:J97)</f>
        <v>5</v>
      </c>
    </row>
    <row r="93" spans="1:34" s="2" customFormat="1" ht="21" customHeight="1">
      <c r="I93" s="47">
        <f>'C1'!F41</f>
        <v>0.156</v>
      </c>
      <c r="J93" s="47">
        <f>C30</f>
        <v>6.7400000000000002E-2</v>
      </c>
      <c r="K93" s="47">
        <f>I93-J93</f>
        <v>8.8599999999999998E-2</v>
      </c>
      <c r="L93" s="1"/>
      <c r="M93" s="47" t="s">
        <v>140</v>
      </c>
      <c r="N93" s="66">
        <f>ABS(K97-K96)/ABS(K97-K93)</f>
        <v>0.27813935681470137</v>
      </c>
      <c r="O93" s="1"/>
      <c r="P93" s="47" t="s">
        <v>142</v>
      </c>
      <c r="Q93" s="66">
        <f>AVERAGE(K93:K97)</f>
        <v>0.34019999999999995</v>
      </c>
    </row>
    <row r="94" spans="1:34" s="2" customFormat="1" ht="21" customHeight="1">
      <c r="I94" s="47">
        <f>'C1'!F42</f>
        <v>0.33100000000000002</v>
      </c>
      <c r="J94" s="47">
        <f t="shared" ref="J94:J97" si="0">C31</f>
        <v>0.1212</v>
      </c>
      <c r="K94" s="47">
        <f>I94-J94</f>
        <v>0.20980000000000001</v>
      </c>
      <c r="L94" s="1"/>
      <c r="M94" s="47" t="s">
        <v>141</v>
      </c>
      <c r="N94" s="66">
        <f>ABS(K94-K93)/ABS(K97-K93)</f>
        <v>0.23200612557427264</v>
      </c>
      <c r="O94" s="1"/>
      <c r="P94" s="47" t="s">
        <v>19</v>
      </c>
      <c r="Q94" s="66">
        <f>STDEV(K93:K97)</f>
        <v>0.20590902117197299</v>
      </c>
    </row>
    <row r="95" spans="1:34" s="2" customFormat="1" ht="21" customHeight="1">
      <c r="I95" s="47">
        <f>'C1'!F43</f>
        <v>0.496</v>
      </c>
      <c r="J95" s="47">
        <f t="shared" si="0"/>
        <v>0.1701</v>
      </c>
      <c r="K95" s="47">
        <f>I95-J95</f>
        <v>0.32589999999999997</v>
      </c>
      <c r="L95" s="1"/>
      <c r="M95" s="47" t="s">
        <v>138</v>
      </c>
      <c r="N95" s="47">
        <v>0.76</v>
      </c>
      <c r="O95" s="1"/>
      <c r="P95" s="47" t="s">
        <v>143</v>
      </c>
      <c r="Q95" s="66">
        <f>Q93*SQRT(Q92)/Q94</f>
        <v>3.6944001851676589</v>
      </c>
    </row>
    <row r="96" spans="1:34" s="2" customFormat="1" ht="21" customHeight="1">
      <c r="I96" s="47">
        <f>'C1'!F44</f>
        <v>0.67500000000000004</v>
      </c>
      <c r="J96" s="47">
        <f t="shared" si="0"/>
        <v>0.20930000000000001</v>
      </c>
      <c r="K96" s="47">
        <f>I96-J96</f>
        <v>0.4657</v>
      </c>
      <c r="L96" s="1"/>
      <c r="M96" s="5"/>
      <c r="N96" s="5"/>
      <c r="O96" s="5"/>
      <c r="P96" s="47" t="s">
        <v>144</v>
      </c>
      <c r="Q96" s="47">
        <v>3.18</v>
      </c>
    </row>
    <row r="97" spans="1:11" ht="21" customHeight="1">
      <c r="I97" s="47">
        <f>'C1'!F45</f>
        <v>0.86799999999999999</v>
      </c>
      <c r="J97" s="47">
        <f t="shared" si="0"/>
        <v>0.25700000000000001</v>
      </c>
      <c r="K97" s="47">
        <f>I97-J97</f>
        <v>0.61099999999999999</v>
      </c>
    </row>
    <row r="98" spans="1:11" ht="21" customHeight="1">
      <c r="H98" s="2"/>
    </row>
    <row r="99" spans="1:11" ht="21" customHeight="1"/>
    <row r="100" spans="1:11" ht="21" customHeight="1"/>
    <row r="101" spans="1:11" ht="21" customHeight="1"/>
    <row r="102" spans="1:11" ht="21" customHeight="1"/>
    <row r="103" spans="1:11" s="5" customFormat="1" ht="23.25" customHeight="1">
      <c r="A103" s="2" t="s">
        <v>50</v>
      </c>
      <c r="B103" s="2"/>
      <c r="C103" s="2"/>
      <c r="D103" s="2"/>
    </row>
    <row r="104" spans="1:11" s="5" customFormat="1" ht="16.5" customHeight="1">
      <c r="A104" s="1"/>
      <c r="B104" s="1"/>
      <c r="C104" s="1"/>
      <c r="D104" s="1"/>
    </row>
    <row r="105" spans="1:11" ht="21" customHeight="1"/>
    <row r="106" spans="1:11" ht="21" customHeight="1"/>
    <row r="107" spans="1:11" ht="21" customHeight="1"/>
    <row r="108" spans="1:11" ht="21" customHeight="1"/>
    <row r="109" spans="1:11" ht="21" customHeight="1"/>
    <row r="110" spans="1:11" ht="396" customHeight="1">
      <c r="A110" s="5"/>
      <c r="B110" s="5" t="s">
        <v>45</v>
      </c>
      <c r="C110" s="5"/>
      <c r="D110" s="5"/>
    </row>
    <row r="111" spans="1:11" ht="35" customHeight="1">
      <c r="A111" s="5"/>
      <c r="B111" s="5" t="s">
        <v>31</v>
      </c>
      <c r="C111" s="5"/>
      <c r="D111" s="5"/>
    </row>
    <row r="112" spans="1:11" ht="317" customHeight="1"/>
  </sheetData>
  <mergeCells count="8">
    <mergeCell ref="S37:T37"/>
    <mergeCell ref="E11:F11"/>
    <mergeCell ref="D71:D78"/>
    <mergeCell ref="B2:D2"/>
    <mergeCell ref="B3:D3"/>
    <mergeCell ref="E71:E78"/>
    <mergeCell ref="F71:F78"/>
    <mergeCell ref="F37:G37"/>
  </mergeCells>
  <pageMargins left="0.70866141732283472" right="0.70866141732283472" top="0.74803149606299213" bottom="0.74803149606299213" header="0.31496062992125984" footer="0.31496062992125984"/>
  <pageSetup paperSize="9" scale="83" fitToHeight="2"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D35" sqref="D35"/>
    </sheetView>
  </sheetViews>
  <sheetFormatPr baseColWidth="10" defaultColWidth="8.83203125"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C1</vt:lpstr>
      <vt:lpstr>C2</vt:lpstr>
      <vt:lpstr>Càlculs</vt:lpstr>
      <vt:lpstr>'C1'!Print_Area</vt:lpstr>
      <vt:lpstr>'C2'!Print_Area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IGNASI</dc:creator>
  <cp:lastModifiedBy>Sergio Castañeiras Morales</cp:lastModifiedBy>
  <cp:lastPrinted>2021-04-16T08:01:40Z</cp:lastPrinted>
  <dcterms:created xsi:type="dcterms:W3CDTF">2021-03-22T14:48:22Z</dcterms:created>
  <dcterms:modified xsi:type="dcterms:W3CDTF">2025-05-20T16:08:56Z</dcterms:modified>
</cp:coreProperties>
</file>