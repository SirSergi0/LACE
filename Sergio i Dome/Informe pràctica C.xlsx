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/Desktop/University/5nto/LACE/LACE/Sergio i Dome/"/>
    </mc:Choice>
  </mc:AlternateContent>
  <xr:revisionPtr revIDLastSave="0" documentId="13_ncr:1_{CA734BD7-726C-F643-8F9E-6F06C037694C}" xr6:coauthVersionLast="47" xr6:coauthVersionMax="47" xr10:uidLastSave="{00000000-0000-0000-0000-000000000000}"/>
  <bookViews>
    <workbookView xWindow="0" yWindow="840" windowWidth="34200" windowHeight="21400" activeTab="1" xr2:uid="{C1122783-245A-4FED-BDEB-F09B1698DCDF}"/>
  </bookViews>
  <sheets>
    <sheet name="C1" sheetId="1" r:id="rId1"/>
    <sheet name="C2" sheetId="4" r:id="rId2"/>
    <sheet name="Càlculs" sheetId="3" r:id="rId3"/>
  </sheets>
  <definedNames>
    <definedName name="_xlnm.Print_Area" localSheetId="0">'C1'!$A$1:$I$60</definedName>
    <definedName name="_xlnm.Print_Area" localSheetId="1">'C2'!$A$1:$I$4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2" i="1" l="1"/>
  <c r="G94" i="1"/>
  <c r="K88" i="1" l="1"/>
  <c r="K89" i="1"/>
  <c r="I74" i="1" a="1"/>
  <c r="I74" i="1" s="1"/>
  <c r="E70" i="1"/>
  <c r="K90" i="1" s="1"/>
  <c r="G91" i="1" s="1"/>
  <c r="I94" i="1" s="1"/>
  <c r="F33" i="1"/>
  <c r="J22" i="1"/>
  <c r="J23" i="1"/>
  <c r="F30" i="1" s="1"/>
  <c r="E41" i="1" s="1"/>
  <c r="G88" i="1" l="1"/>
  <c r="E45" i="1"/>
  <c r="E44" i="1"/>
  <c r="E43" i="1"/>
  <c r="E42" i="1"/>
  <c r="K91" i="1" l="1"/>
  <c r="D105" i="1"/>
  <c r="F105" i="1" l="1"/>
  <c r="G105" i="1"/>
  <c r="H105" i="1" s="1"/>
  <c r="E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<sst xmlns="http://schemas.openxmlformats.org/spreadsheetml/2006/main" count="113" uniqueCount="92">
  <si>
    <t>Grup pràctiques:</t>
  </si>
  <si>
    <t>Alumnes:</t>
  </si>
  <si>
    <t>1. Descripció de la mostra</t>
  </si>
  <si>
    <t>7. Gotes (o volum) emprat al punt (1) de la pràctica:</t>
  </si>
  <si>
    <t>Absorbància</t>
  </si>
  <si>
    <t>Gotes (o volum) afegit al matràs</t>
  </si>
  <si>
    <t>Volum (mL) dissolució de treball de Fe(II)</t>
  </si>
  <si>
    <t>Parella:</t>
  </si>
  <si>
    <t xml:space="preserve">10. Volum teòric de dissolució que s'ha de pipetejar per tenir una </t>
  </si>
  <si>
    <t>11. Volum real pipetejat:</t>
  </si>
  <si>
    <t xml:space="preserve">absorbància a la part central de la recta: </t>
  </si>
  <si>
    <t>12. Absorbància del blanc de la mostra:</t>
  </si>
  <si>
    <t>13. Absorbància mesurada de la mostra:</t>
  </si>
  <si>
    <t>14. Absorbància corregida de la mostra:</t>
  </si>
  <si>
    <t>9. Exemple del càlcul de la concentració d'un patro de Fe(II):</t>
  </si>
  <si>
    <t>Data:</t>
  </si>
  <si>
    <t>Informe pràctica C1</t>
  </si>
  <si>
    <t>Contingut de Fe al comprimit (mg):</t>
  </si>
  <si>
    <t>Concentració mitjana (mg/mL)</t>
  </si>
  <si>
    <t>Desviació estàndard</t>
  </si>
  <si>
    <t>Desviació estàndard relativa (%)</t>
  </si>
  <si>
    <t>Número de parella</t>
  </si>
  <si>
    <t>el vostre</t>
  </si>
  <si>
    <t>2. Massa del comprimit (mg):</t>
  </si>
  <si>
    <t xml:space="preserve">3. Massa pesada de sal de Mohr (g): </t>
  </si>
  <si>
    <t>4. Càlcul de la concentració de la dissolució estoc de Fe(II):</t>
  </si>
  <si>
    <t>5. Concentració dissolució treball Fe(II) (mg/mL):</t>
  </si>
  <si>
    <t>8. Ompliu la taula fent servir fórmules a les caselles a on s'hagin de fer càlculs i no afegint només el resultat (clica sobre el 6 per veure exemple i esborra'l)</t>
  </si>
  <si>
    <t>15. Representeu la recta de calibratge:</t>
  </si>
  <si>
    <t>Interval de confiança</t>
  </si>
  <si>
    <t>16. Concentració de Fe(II) interpolat a la recta de calibratge:</t>
  </si>
  <si>
    <t>IMPORTANT: NO S'AVALUARÀ SI EL RESULTAT TROBAT COINCIDEIX AMB L'ESPERAT, SI NO LA CAPACITAT D'INTERPRETAR</t>
  </si>
  <si>
    <t>ELS RESULTATS I SI AQUEST NO COINCIDEIX AMB L'ESPERAT, LA POSSIBLE CAUSA I SOLUCIÓ.</t>
  </si>
  <si>
    <t>Concentració patró de Fe(II) (mg/mL)</t>
  </si>
  <si>
    <t>6. Concentració de Fe(II) a la dissolució del comprimit (g/mL):</t>
  </si>
  <si>
    <t>17. Desviació estàndard de la concentració calculada:</t>
  </si>
  <si>
    <t>Contingut nominal de Fe a la mostra (indicat a l'etiqueta, considereu aquest valor com el valor real):</t>
  </si>
  <si>
    <t>Existeixen diferències significatives entre la precisió dels dos mètodes?</t>
  </si>
  <si>
    <t>(es considera que els diferents resultats son replicats de mostra)</t>
  </si>
  <si>
    <t xml:space="preserve">19. Compara i comenta els valors del contingut de Ferro trobat amb el nominal. </t>
  </si>
  <si>
    <t>20. Omple la taula afegint el vostre resultat i el de la resta de les parelles que han fet la mateixa pràctica:</t>
  </si>
  <si>
    <t>21. Observacions i comentaris dels resultats del punt 20 (valors anòmals, precisió dels resultats...):</t>
  </si>
  <si>
    <t>2. Dades obtinguts del calibratge per patró extern</t>
  </si>
  <si>
    <t>senyal AASF</t>
  </si>
  <si>
    <t>RSD</t>
  </si>
  <si>
    <t>3. Representeu la recta de calibratge:</t>
  </si>
  <si>
    <t>5. Desviació estàndard de la concentració calculada:</t>
  </si>
  <si>
    <t>1. Descripció del instrument AASF utilizat</t>
  </si>
  <si>
    <t>Concentració (ppm Fe)</t>
  </si>
  <si>
    <t>4. Concentració de Fe en la mostra:</t>
  </si>
  <si>
    <t>6. Contingut de Fe al comprimit (mg) amb el seu interval de confianza:</t>
  </si>
  <si>
    <t xml:space="preserve">7. Comenta els resultats del contingut de ferro trobat pels diferents mètodes amb el contingut indicat a l'etiqueta del producte. </t>
  </si>
  <si>
    <t>IMPORTANT: NO S'AVALUARÀ SI EL RESULTAT TROBAT EN Fe COINCIDEIX AMB L'ESPERAT O NO, SI NO LA CAPACITAT D'INTERPRETAR</t>
  </si>
  <si>
    <t>8. Completa la taula següent (afegiu el vostre resultat i el de la resta de les parelles que han fet la mateixa pràctica):</t>
  </si>
  <si>
    <t>10. Compareu la precisió dels dos mètodes (test F)</t>
  </si>
  <si>
    <t>9. Observacions i comentaris dels resultats de la taula anterior (valors anòmals, precisió dels resultats...):</t>
  </si>
  <si>
    <t>11.  Existeixen diferències significatives entre els resultats obtinguts pels dos mètodes diferents? (test comparació de dades aparellades)</t>
  </si>
  <si>
    <t>12. Quins avantatges i inconvenients representa la determinació de ferro  mijant l'us de UV-Vis davant l'AASF?  (laboriositat, rapidesa, material, manipulació, perillositat...)</t>
  </si>
  <si>
    <t>mg</t>
  </si>
  <si>
    <t>mg/mL</t>
  </si>
  <si>
    <t xml:space="preserve">g/mL </t>
  </si>
  <si>
    <t>R^2</t>
  </si>
  <si>
    <t>S_{y/x}</t>
  </si>
  <si>
    <t>F</t>
  </si>
  <si>
    <t>dof</t>
  </si>
  <si>
    <t>Ssreg</t>
  </si>
  <si>
    <t>Ssresid</t>
  </si>
  <si>
    <t>mL</t>
  </si>
  <si>
    <t>S_{xx}</t>
  </si>
  <si>
    <t>S_0</t>
  </si>
  <si>
    <t>t_{tab}</t>
  </si>
  <si>
    <t>18. Contingut de Fe(II) al comprimit (mg) amb el seu interval de confiança</t>
  </si>
  <si>
    <t>±</t>
  </si>
  <si>
    <t>mg per comprimit</t>
  </si>
  <si>
    <t>GRUP 2.1 (G3) tarda - 2on torn </t>
  </si>
  <si>
    <t>T_18</t>
  </si>
  <si>
    <t>Sergio Castañeiras Morales i Domènec Huerta Estradé</t>
  </si>
  <si>
    <t>g/comprimit</t>
  </si>
  <si>
    <t>Resultat amb excel</t>
  </si>
  <si>
    <t>Dades</t>
  </si>
  <si>
    <t>PM (sal de Mohr)  (g/mol)</t>
  </si>
  <si>
    <t>PM (sal de Mohr) (g/mol)</t>
  </si>
  <si>
    <t>Quantitat de Fe^(2+) (mg)</t>
  </si>
  <si>
    <t>Concentració Fe^(2+) (mg Fe^(2+)/mL)</t>
  </si>
  <si>
    <t>Absorbància = m * [Fe (II)] + n</t>
  </si>
  <si>
    <t>m</t>
  </si>
  <si>
    <t>u_m</t>
  </si>
  <si>
    <t>n</t>
  </si>
  <si>
    <t>u_n</t>
  </si>
  <si>
    <t>Per 10 mL de la dissolució de treball de 0.02 ppm de Fe(II) amb 3 gotes d'acetat de sodi 2M hem arribat a un pH d'aproximadament 4</t>
  </si>
  <si>
    <t>Aquest valor s'obté a partir de les dades del contingut vitamínic que apareix a l'envàs</t>
  </si>
  <si>
    <t>Absorbància_{avg}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</si>
</sst>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"/>
    <numFmt numFmtId="166" formatCode="0.000"/>
    <numFmt numFmtId="167" formatCode="0.000000"/>
    <numFmt numFmtId="168" formatCode="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2"/>
      <color theme="1"/>
      <name val="Arial"/>
      <family val="2"/>
    </font>
    <font>
      <b/>
      <sz val="18"/>
      <color rgb="FFFF000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168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0" xfId="0" applyFont="1"/>
    <xf numFmtId="14" fontId="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" fillId="0" borderId="0" xfId="0" applyNumberFormat="1" applyFont="1"/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right" vertical="top"/>
    </xf>
    <xf numFmtId="0" fontId="0" fillId="0" borderId="1" xfId="0" applyBorder="1" applyAlignment="1">
      <alignment horizontal="right"/>
    </xf>
    <xf numFmtId="1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1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0" borderId="0" xfId="0" applyFont="1" applyAlignment="1">
      <alignment vertical="center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Calibratge per</a:t>
            </a:r>
            <a:r>
              <a:rPr lang="es-ES_tradnl" baseline="0"/>
              <a:t> patrons externs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260913613929539E-2"/>
                  <c:y val="-3.172548700060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'C1'!$E$41:$E$45</c:f>
              <c:numCache>
                <c:formatCode>0.000000</c:formatCode>
                <c:ptCount val="5"/>
                <c:pt idx="0" formatCode="0.0000000">
                  <c:v>8.2028663232519008E-4</c:v>
                </c:pt>
                <c:pt idx="1">
                  <c:v>1.6405732646503802E-3</c:v>
                </c:pt>
                <c:pt idx="2">
                  <c:v>2.4608598969755703E-3</c:v>
                </c:pt>
                <c:pt idx="3">
                  <c:v>3.2811465293007603E-3</c:v>
                </c:pt>
                <c:pt idx="4">
                  <c:v>4.1014331616259503E-3</c:v>
                </c:pt>
              </c:numCache>
            </c:numRef>
          </c:xVal>
          <c:yVal>
            <c:numRef>
              <c:f>'C1'!$F$41:$F$45</c:f>
              <c:numCache>
                <c:formatCode>0.000</c:formatCode>
                <c:ptCount val="5"/>
                <c:pt idx="0">
                  <c:v>0.156</c:v>
                </c:pt>
                <c:pt idx="1">
                  <c:v>0.33100000000000002</c:v>
                </c:pt>
                <c:pt idx="2">
                  <c:v>0.496</c:v>
                </c:pt>
                <c:pt idx="3">
                  <c:v>0.67500000000000004</c:v>
                </c:pt>
                <c:pt idx="4">
                  <c:v>0.86799999999999999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E4-E149-8AF3-B6998DACC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138687"/>
        <c:axId val="1217966191"/>
      </c:scatterChart>
      <c:valAx>
        <c:axId val="162513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Concentració patró de Fe (II)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7966191"/>
        <c:crosses val="autoZero"/>
        <c:crossBetween val="midCat"/>
      </c:valAx>
      <c:valAx>
        <c:axId val="1217966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Absorbància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513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162560</xdr:colOff>
      <xdr:row>15</xdr:row>
      <xdr:rowOff>119381</xdr:rowOff>
    </xdr:from>
    <xdr:to>
      <xdr:col>6</xdr:col>
      <xdr:colOff>324255</xdr:colOff>
      <xdr:row>26</xdr:row>
      <xdr:rowOff>23708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0FC480-2CD5-2A47-BB5D-24D0C1C2BD78}"/>
                </a:ext>
              </a:extLst>
            </xdr:cNvPr>
            <xdr:cNvSpPr txBox="1"/>
          </xdr:nvSpPr>
          <xdr:spPr>
            <a:xfrm>
              <a:off x="162560" y="3936136"/>
              <a:ext cx="7356110" cy="198496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144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𝑔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𝑠𝑎𝑙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𝑀𝑜h𝑟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392.14 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55.845 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=20.5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𝑚𝑔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𝐹</m:t>
                    </m:r>
                    <m:sSup>
                      <m:sSup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2+</m:t>
                        </m:r>
                      </m:sup>
                    </m:sSup>
                  </m:oMath>
                </m:oMathPara>
              </a14:m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20.5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500.0 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=0.041</m:t>
                    </m:r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</m:oMath>
                </m:oMathPara>
              </a14:m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0FC480-2CD5-2A47-BB5D-24D0C1C2BD78}"/>
                </a:ext>
              </a:extLst>
            </xdr:cNvPr>
            <xdr:cNvSpPr txBox="1"/>
          </xdr:nvSpPr>
          <xdr:spPr>
            <a:xfrm>
              <a:off x="162560" y="3936136"/>
              <a:ext cx="7356110" cy="198496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144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 𝑠𝑎𝑙 𝑑𝑒 𝑀𝑜ℎ𝑟·(1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𝑠𝑎𝑙)/(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(1 𝑚𝑜𝑙 𝑠𝑎𝑙)/(392.14 𝑔 𝑠𝑎𝑙)·(1 𝑚𝑜𝑙 𝐹𝑒^(2+))/(1 𝑚𝑜𝑙 𝑠𝑎𝑙)·(55.845 𝑔 𝐹𝑒^(2+))/(1 𝑚𝑜𝑙 𝐹𝑒^(2+) 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𝐹𝑒^(2+))/(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=20.5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𝑚𝑔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</a:t>
              </a:r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( 20.5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𝐹𝑒^(2+))/(500.0 𝑚𝐿)=0.041 ( 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 𝑚𝐿)</a:t>
              </a:r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153146</xdr:colOff>
      <xdr:row>47</xdr:row>
      <xdr:rowOff>65740</xdr:rowOff>
    </xdr:from>
    <xdr:to>
      <xdr:col>5</xdr:col>
      <xdr:colOff>886571</xdr:colOff>
      <xdr:row>58</xdr:row>
      <xdr:rowOff>37165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4">
              <a:extLst>
                <a:ext uri="{FF2B5EF4-FFF2-40B4-BE49-F238E27FC236}">
                  <a16:creationId xmlns:a16="http://schemas.microsoft.com/office/drawing/2014/main" id="{55293BB2-6B64-5B4A-B60F-63157B551C8D}"/>
                </a:ext>
              </a:extLst>
            </xdr:cNvPr>
            <xdr:cNvSpPr txBox="1"/>
          </xdr:nvSpPr>
          <xdr:spPr>
            <a:xfrm>
              <a:off x="153146" y="11032564"/>
              <a:ext cx="6956425" cy="21080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a-ES" sz="1100"/>
                          <m:t>0.02051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𝑚𝑔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p>
                              <m:sSupPr>
                                <m:ctrlP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2+</m:t>
                                </m:r>
                              </m:sup>
                            </m:sSup>
                          </m:num>
                          <m:den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𝑚𝐿</m:t>
                            </m:r>
                          </m:den>
                        </m:f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num>
                      <m:den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den>
                    </m:f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ES" sz="1100" b="0" i="0" u="none" strike="noStrike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0.004101</m:t>
                    </m:r>
                    <m:r>
                      <m:rPr>
                        <m:nor/>
                      </m:rPr>
                      <a:rPr lang="en-ES"/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sSup>
                      <m:sSup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2+</m:t>
                        </m:r>
                      </m:sup>
                    </m:sSup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𝑚𝐿</m:t>
                    </m:r>
                  </m:oMath>
                </m:oMathPara>
              </a14:m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4">
              <a:extLst>
                <a:ext uri="{FF2B5EF4-FFF2-40B4-BE49-F238E27FC236}">
                  <a16:creationId xmlns:a16="http://schemas.microsoft.com/office/drawing/2014/main" id="{55293BB2-6B64-5B4A-B60F-63157B551C8D}"/>
                </a:ext>
              </a:extLst>
            </xdr:cNvPr>
            <xdr:cNvSpPr txBox="1"/>
          </xdr:nvSpPr>
          <xdr:spPr>
            <a:xfrm>
              <a:off x="153146" y="11032564"/>
              <a:ext cx="6956425" cy="21080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ca-ES" sz="1100" i="0"/>
                <a:t>0.02051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(𝑚𝑔 𝐹𝑒^(2+))/𝑚𝐿·5.0 𝑚𝐿)/(25.0 𝑚𝐿)=</a:t>
              </a:r>
              <a:r>
                <a:rPr lang="en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E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0.004101</a:t>
              </a:r>
              <a:r>
                <a:rPr lang="en-ES" i="0">
                  <a:latin typeface="Cambria Math" panose="02040503050406030204" pitchFamily="18" charset="0"/>
                </a:rPr>
                <a:t> 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𝑚𝑔 𝐹𝑒^(2+)/𝑚𝐿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0</xdr:col>
      <xdr:colOff>94168</xdr:colOff>
      <xdr:row>72</xdr:row>
      <xdr:rowOff>203200</xdr:rowOff>
    </xdr:from>
    <xdr:to>
      <xdr:col>6</xdr:col>
      <xdr:colOff>233679</xdr:colOff>
      <xdr:row>85</xdr:row>
      <xdr:rowOff>98119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CA1C4ECE-9EE4-2242-99F6-2A3A28877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97</xdr:row>
      <xdr:rowOff>33866</xdr:rowOff>
    </xdr:from>
    <xdr:to>
      <xdr:col>6</xdr:col>
      <xdr:colOff>838200</xdr:colOff>
      <xdr:row>100</xdr:row>
      <xdr:rowOff>59267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BE7966-52B2-514A-8B1A-71080CAC2571}"/>
            </a:ext>
          </a:extLst>
        </xdr:cNvPr>
        <xdr:cNvSpPr txBox="1"/>
      </xdr:nvSpPr>
      <xdr:spPr>
        <a:xfrm>
          <a:off x="0" y="21827066"/>
          <a:ext cx="8034867" cy="609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/>
            <a:t>Hem observat que el valor indicat a l’etiqueta, és a dir, el valor nominal de 5 mg per comprimit, es troba dins de l’interval de confiança obtingut mitjançant la recta de calibratge amb la tècnica d’absorció UV-Vis, que és de (5,2 ± 0,4) mg per comprimit. Ambdós resultats són coherents i, per tant, compatibles, fet que ens permet concloure que el resultat és plenament satisfactori.</a:t>
          </a:r>
        </a:p>
      </xdr:txBody>
    </xdr:sp>
    <xdr:clientData/>
  </xdr:twoCellAnchor>
  <xdr:twoCellAnchor>
    <xdr:from>
      <xdr:col>0</xdr:col>
      <xdr:colOff>84667</xdr:colOff>
      <xdr:row>115</xdr:row>
      <xdr:rowOff>76200</xdr:rowOff>
    </xdr:from>
    <xdr:to>
      <xdr:col>6</xdr:col>
      <xdr:colOff>110066</xdr:colOff>
      <xdr:row>122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B38870-643D-E20C-845D-20F7211C4050}"/>
            </a:ext>
          </a:extLst>
        </xdr:cNvPr>
        <xdr:cNvSpPr txBox="1"/>
      </xdr:nvSpPr>
      <xdr:spPr>
        <a:xfrm>
          <a:off x="84667" y="26018067"/>
          <a:ext cx="7222066" cy="1998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Necessitem les dades ...</a:t>
          </a:r>
        </a:p>
      </xdr:txBody>
    </xdr:sp>
    <xdr:clientData/>
  </xdr:twoCellAnchor>
  <xdr:twoCellAnchor>
    <xdr:from>
      <xdr:col>0</xdr:col>
      <xdr:colOff>211666</xdr:colOff>
      <xdr:row>5</xdr:row>
      <xdr:rowOff>93134</xdr:rowOff>
    </xdr:from>
    <xdr:to>
      <xdr:col>7</xdr:col>
      <xdr:colOff>668866</xdr:colOff>
      <xdr:row>6</xdr:row>
      <xdr:rowOff>237069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BFBC83F-BB69-36C6-26D8-D84F0EFE331B}"/>
            </a:ext>
          </a:extLst>
        </xdr:cNvPr>
        <xdr:cNvSpPr txBox="1"/>
      </xdr:nvSpPr>
      <xdr:spPr>
        <a:xfrm>
          <a:off x="211666" y="1143001"/>
          <a:ext cx="8619067" cy="973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La</a:t>
          </a:r>
          <a:r>
            <a:rPr lang="en-GB" sz="1100" baseline="0"/>
            <a:t> mostra consisteix en comprimit de la marca Centrum anomenat Multicentrum amb número de lot, </a:t>
          </a:r>
          <a:r>
            <a:rPr lang="en-GB" sz="1100"/>
            <a:t>V57K. Es tracta d'una</a:t>
          </a:r>
          <a:r>
            <a:rPr lang="en-GB" sz="1100" baseline="0"/>
            <a:t> pastilla</a:t>
          </a:r>
          <a:r>
            <a:rPr lang="en-GB" sz="1100"/>
            <a:t> de color blau de la mida d'una pasa</a:t>
          </a:r>
          <a:r>
            <a:rPr lang="en-GB" sz="1100" baseline="0"/>
            <a:t> pensada pel consum via oral. </a:t>
          </a:r>
          <a:endParaRPr lang="en-GB" sz="1100"/>
        </a:p>
      </xdr:txBody>
    </xdr:sp>
    <xdr:clientData/>
  </xdr:twoCellAnchor>
  <xdr:twoCellAnchor>
    <xdr:from>
      <xdr:col>7</xdr:col>
      <xdr:colOff>1532466</xdr:colOff>
      <xdr:row>4</xdr:row>
      <xdr:rowOff>186266</xdr:rowOff>
    </xdr:from>
    <xdr:to>
      <xdr:col>16</xdr:col>
      <xdr:colOff>338667</xdr:colOff>
      <xdr:row>6</xdr:row>
      <xdr:rowOff>118533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72FFF24-E2A8-2ECE-FFC7-CDC90BA6CF19}"/>
            </a:ext>
          </a:extLst>
        </xdr:cNvPr>
        <xdr:cNvSpPr txBox="1"/>
      </xdr:nvSpPr>
      <xdr:spPr>
        <a:xfrm>
          <a:off x="9694333" y="1041399"/>
          <a:ext cx="7967134" cy="956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 l'etiqueta</a:t>
          </a:r>
          <a:r>
            <a:rPr lang="en-GB" sz="1100" baseline="0"/>
            <a:t> especifica els ingredients: "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Ingredientes: Fosfato dicálcico, óxido de magnesio, incrementador</a:t>
          </a:r>
        </a:p>
        <a:p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potosico, aceato DiL afa , oferi), nicolo amida, fumarato terroso,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arpanimera de catio, oxido de zinc, surato de mangaato calcico,piridoxina clorhidrato, mononitrato de tiamina, ribotlavina, beta-caroteno, aceite vegetal (coco y palma), sulfato cúprico, acetato de retinilo, D-biotina, ácido pteroilmonoglutámico, cloruro de cromo (IlI), molibdato de sodio, yoduro potásico, seleniato sódico, filoquinona, colecalciferol, cianocobalamina, colorante (E 132)."</a:t>
          </a:r>
        </a:p>
        <a:p>
          <a:endParaRPr lang="en-GB" sz="1100"/>
        </a:p>
      </xdr:txBody>
    </xdr:sp>
    <xdr:clientData/>
  </xdr:twoCellAnchor>
  <xdr:twoCellAnchor>
    <xdr:from>
      <xdr:col>23</xdr:col>
      <xdr:colOff>152400</xdr:colOff>
      <xdr:row>5</xdr:row>
      <xdr:rowOff>152400</xdr:rowOff>
    </xdr:from>
    <xdr:to>
      <xdr:col>29</xdr:col>
      <xdr:colOff>254000</xdr:colOff>
      <xdr:row>5</xdr:row>
      <xdr:rowOff>778934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A72185D-3A57-9510-4AB5-96B2DA3B7ABE}"/>
            </a:ext>
          </a:extLst>
        </xdr:cNvPr>
        <xdr:cNvSpPr txBox="1"/>
      </xdr:nvSpPr>
      <xdr:spPr>
        <a:xfrm>
          <a:off x="23638933" y="1202267"/>
          <a:ext cx="5384800" cy="626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 minerals: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Fósforo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Magnesio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Hierro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Yodo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Cobre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Manganeso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Cromo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Molibdeno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Selenio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Zinc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</a:t>
          </a:r>
        </a:p>
        <a:p>
          <a:endParaRPr lang="en-GB" sz="1100"/>
        </a:p>
      </xdr:txBody>
    </xdr:sp>
    <xdr:clientData/>
  </xdr:twoCellAnchor>
  <xdr:twoCellAnchor>
    <xdr:from>
      <xdr:col>16</xdr:col>
      <xdr:colOff>838199</xdr:colOff>
      <xdr:row>4</xdr:row>
      <xdr:rowOff>194733</xdr:rowOff>
    </xdr:from>
    <xdr:to>
      <xdr:col>22</xdr:col>
      <xdr:colOff>821267</xdr:colOff>
      <xdr:row>6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2D715CF-7ED0-5F2C-52C5-33467F70E5BC}"/>
            </a:ext>
          </a:extLst>
        </xdr:cNvPr>
        <xdr:cNvSpPr txBox="1"/>
      </xdr:nvSpPr>
      <xdr:spPr>
        <a:xfrm>
          <a:off x="18160999" y="1049866"/>
          <a:ext cx="5266268" cy="982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Contingut vitamínic: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A (RE)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D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E (a-TE)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K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1.4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B6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Fólico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Biotina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Niacina (NE)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Pantoténico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7.5 mg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45358</xdr:colOff>
      <xdr:row>5</xdr:row>
      <xdr:rowOff>27215</xdr:rowOff>
    </xdr:from>
    <xdr:to>
      <xdr:col>5</xdr:col>
      <xdr:colOff>199573</xdr:colOff>
      <xdr:row>8</xdr:row>
      <xdr:rowOff>2866572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74FEFB-99DF-EAA6-A852-C5B757BAB2F4}"/>
            </a:ext>
          </a:extLst>
        </xdr:cNvPr>
        <xdr:cNvSpPr txBox="1"/>
      </xdr:nvSpPr>
      <xdr:spPr>
        <a:xfrm>
          <a:off x="45358" y="1052286"/>
          <a:ext cx="6449786" cy="34108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b="0"/>
            <a:t>Per a la detecció de la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concentració de ferro i manganés en un comprimit multivitamínic</a:t>
          </a:r>
          <a:r>
            <a:rPr lang="en-GB"/>
            <a:t> </a:t>
          </a:r>
          <a:r>
            <a:rPr lang="en-GB" b="0"/>
            <a:t>utilitzem el model 55 AA de la marca Agilent, que permet quantificar la mostra mitjançant espectroscòpia d’absorció atòmica.</a:t>
          </a:r>
          <a:br>
            <a:rPr lang="en-GB" b="0"/>
          </a:br>
          <a:endParaRPr lang="en-GB" b="0"/>
        </a:p>
        <a:p>
          <a:pPr algn="ctr"/>
          <a:r>
            <a:rPr lang="en-GB" b="0"/>
            <a:t>Com a font de llum, s’empra una làmpada de càtode buit multielemental. Aquesta làmpada emet a longituds d’ona molt específiques; concretament, ens fixem en l’emissió a 248,3 nm per</a:t>
          </a:r>
          <a:r>
            <a:rPr lang="en-GB" b="0" baseline="0"/>
            <a:t> la quantificació del</a:t>
          </a:r>
          <a:r>
            <a:rPr lang="en-GB" b="0"/>
            <a:t> ferro i 279,5 nm per la quantificació del manganés. Aquestes longitud d’ona és absorbida pels àtoms de ferro</a:t>
          </a:r>
          <a:r>
            <a:rPr lang="en-GB" b="0" baseline="0"/>
            <a:t> i manganés </a:t>
          </a:r>
          <a:r>
            <a:rPr lang="en-GB" b="0"/>
            <a:t>presents en la mostra, els quals s’exciten. Així, podem determinar la concentració de coure mitjançant la diferència d’intensitat entre una mostra sense ferro</a:t>
          </a:r>
          <a:r>
            <a:rPr lang="en-GB" b="0" baseline="0"/>
            <a:t> i manganés</a:t>
          </a:r>
          <a:r>
            <a:rPr lang="en-GB" b="0"/>
            <a:t> (el blanc) i la</a:t>
          </a:r>
          <a:r>
            <a:rPr lang="en-GB" b="0" baseline="0"/>
            <a:t> dissolució que conté el comprimit multivitamínic</a:t>
          </a:r>
          <a:r>
            <a:rPr lang="en-GB" b="0"/>
            <a:t>.</a:t>
          </a:r>
          <a:br>
            <a:rPr lang="en-GB" b="0"/>
          </a:br>
          <a:endParaRPr lang="en-GB" b="0"/>
        </a:p>
        <a:p>
          <a:pPr algn="ctr"/>
          <a:r>
            <a:rPr lang="en-GB" b="0"/>
            <a:t>Després de realitzar un calibratge amb solucions patró de concentració coneguda de ferro i manganés, i mitjançant la llei de Lambert-Beer, podem quantificar la concentració de de ferro i manganés a partir d’una recta de regressió.</a:t>
          </a:r>
          <a:br>
            <a:rPr lang="en-GB" b="0"/>
          </a:br>
          <a:endParaRPr lang="en-GB" b="0"/>
        </a:p>
        <a:p>
          <a:pPr algn="ctr"/>
          <a:r>
            <a:rPr lang="en-GB" b="0"/>
            <a:t>Nota: És essencial mantenir l’equip net i lliure de residus, ja que, en tractar-se d’una tècnica de quantificació atòmica, la presència d’interferències pot provocar desviacions significatives en els resultats.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08C8-5267-41A1-8A30-44F36ECBD8D8}">
  <sheetPr>
    <pageSetUpPr fitToPage="1"/>
  </sheetPr>
  <dimension ref="A1:T125"/>
  <sheetViews>
    <sheetView showGridLines="0" zoomScale="125" zoomScaleNormal="100" workbookViewId="0">
      <selection activeCell="H115" sqref="H115"/>
    </sheetView>
  </sheetViews>
  <sheetFormatPr baseColWidth="10" defaultColWidth="11.5" defaultRowHeight="23.25" customHeight="1" x14ac:dyDescent="0.15"/>
  <cols>
    <col min="1" max="1" width="16.33203125" style="1" customWidth="1"/>
    <col min="2" max="2" width="25.5" style="1" customWidth="1"/>
    <col min="3" max="3" width="14.5" style="1" customWidth="1"/>
    <col min="4" max="7" width="12.6640625" style="1" customWidth="1"/>
    <col min="8" max="8" width="22" style="1" customWidth="1"/>
    <col min="9" max="9" width="15" style="1" customWidth="1"/>
    <col min="10" max="10" width="11.5" style="1"/>
    <col min="11" max="11" width="13.83203125" style="1" customWidth="1"/>
    <col min="12" max="16384" width="11.5" style="1"/>
  </cols>
  <sheetData>
    <row r="1" spans="1:20" ht="21" customHeight="1" x14ac:dyDescent="0.2">
      <c r="A1" s="3" t="s">
        <v>16</v>
      </c>
      <c r="E1" s="15" t="s">
        <v>15</v>
      </c>
      <c r="F1" s="25">
        <v>45792</v>
      </c>
    </row>
    <row r="2" spans="1:20" ht="15" customHeight="1" x14ac:dyDescent="0.2">
      <c r="A2" s="15" t="s">
        <v>0</v>
      </c>
      <c r="B2" s="48" t="s">
        <v>74</v>
      </c>
      <c r="C2" s="48"/>
      <c r="D2" s="48"/>
      <c r="E2" s="15" t="s">
        <v>7</v>
      </c>
      <c r="F2" s="26" t="s">
        <v>75</v>
      </c>
    </row>
    <row r="3" spans="1:20" ht="15" customHeight="1" x14ac:dyDescent="0.2">
      <c r="A3" s="15" t="s">
        <v>1</v>
      </c>
      <c r="B3" s="48" t="s">
        <v>76</v>
      </c>
      <c r="C3" s="48"/>
      <c r="D3" s="48"/>
      <c r="E3"/>
      <c r="F3"/>
    </row>
    <row r="4" spans="1:20" ht="15" customHeight="1" x14ac:dyDescent="0.15">
      <c r="A4" s="2"/>
    </row>
    <row r="5" spans="1:20" ht="15" customHeight="1" x14ac:dyDescent="0.15">
      <c r="A5" s="2" t="s">
        <v>2</v>
      </c>
    </row>
    <row r="6" spans="1:20" ht="65" customHeight="1" x14ac:dyDescent="0.15"/>
    <row r="7" spans="1:20" ht="21" customHeight="1" x14ac:dyDescent="0.15">
      <c r="B7" s="42"/>
      <c r="C7" s="42"/>
      <c r="D7" s="42"/>
      <c r="E7" s="42"/>
      <c r="F7" s="42"/>
      <c r="G7" s="42"/>
      <c r="H7" s="42"/>
    </row>
    <row r="8" spans="1:20" s="2" customFormat="1" ht="1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ht="15" customHeight="1" x14ac:dyDescent="0.15">
      <c r="B9" s="2" t="s">
        <v>36</v>
      </c>
      <c r="F9" s="1"/>
      <c r="H9" s="1">
        <v>5</v>
      </c>
      <c r="I9" s="1" t="s">
        <v>77</v>
      </c>
      <c r="J9" s="1"/>
    </row>
    <row r="10" spans="1:20" ht="1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x14ac:dyDescent="0.15">
      <c r="A11" s="2" t="s">
        <v>23</v>
      </c>
      <c r="E11" s="1">
        <v>12393</v>
      </c>
      <c r="F11" s="1" t="s">
        <v>58</v>
      </c>
    </row>
    <row r="12" spans="1:20" ht="15" customHeight="1" x14ac:dyDescent="0.15"/>
    <row r="13" spans="1:20" ht="15" customHeight="1" x14ac:dyDescent="0.15">
      <c r="A13" s="2" t="s">
        <v>24</v>
      </c>
      <c r="E13" s="1">
        <v>144</v>
      </c>
      <c r="F13" s="1" t="s">
        <v>58</v>
      </c>
    </row>
    <row r="14" spans="1:20" ht="15" customHeight="1" x14ac:dyDescent="0.15">
      <c r="A14" s="2"/>
    </row>
    <row r="15" spans="1:20" ht="15" customHeight="1" x14ac:dyDescent="0.15">
      <c r="A15" s="2" t="s">
        <v>25</v>
      </c>
    </row>
    <row r="16" spans="1:20" ht="15" customHeight="1" x14ac:dyDescent="0.15">
      <c r="A16" s="2"/>
    </row>
    <row r="17" spans="1:10" ht="15" customHeight="1" x14ac:dyDescent="0.15">
      <c r="A17" s="2"/>
      <c r="H17" s="1" t="s">
        <v>79</v>
      </c>
    </row>
    <row r="18" spans="1:10" ht="15" customHeight="1" x14ac:dyDescent="0.2">
      <c r="H18" s="27" t="s">
        <v>80</v>
      </c>
      <c r="I18" s="27">
        <v>392.14</v>
      </c>
    </row>
    <row r="19" spans="1:10" ht="15" customHeight="1" x14ac:dyDescent="0.2">
      <c r="H19" s="27" t="s">
        <v>81</v>
      </c>
      <c r="I19" s="27">
        <v>55.844999999999999</v>
      </c>
    </row>
    <row r="20" spans="1:10" ht="15" customHeight="1" x14ac:dyDescent="0.15"/>
    <row r="21" spans="1:10" ht="15" customHeight="1" x14ac:dyDescent="0.15">
      <c r="C21" s="4"/>
      <c r="D21" s="4"/>
      <c r="H21" s="1" t="s">
        <v>78</v>
      </c>
    </row>
    <row r="22" spans="1:10" ht="15" customHeight="1" x14ac:dyDescent="0.15">
      <c r="H22" s="1" t="s">
        <v>82</v>
      </c>
      <c r="J22" s="29">
        <f>E13*I19/I18</f>
        <v>20.507165808129752</v>
      </c>
    </row>
    <row r="23" spans="1:10" ht="15" customHeight="1" x14ac:dyDescent="0.15">
      <c r="H23" s="28" t="s">
        <v>83</v>
      </c>
      <c r="J23" s="19">
        <f>J22/500</f>
        <v>4.1014331616259503E-2</v>
      </c>
    </row>
    <row r="24" spans="1:10" ht="15" customHeight="1" x14ac:dyDescent="0.15"/>
    <row r="25" spans="1:10" ht="15" customHeight="1" x14ac:dyDescent="0.15"/>
    <row r="26" spans="1:10" ht="15" customHeight="1" x14ac:dyDescent="0.15"/>
    <row r="27" spans="1:10" ht="15" customHeight="1" x14ac:dyDescent="0.15"/>
    <row r="28" spans="1:10" ht="15" customHeight="1" x14ac:dyDescent="0.15"/>
    <row r="29" spans="1:10" ht="15" customHeight="1" x14ac:dyDescent="0.15"/>
    <row r="30" spans="1:10" ht="15" customHeight="1" x14ac:dyDescent="0.15">
      <c r="A30" s="2" t="s">
        <v>26</v>
      </c>
      <c r="B30" s="2"/>
      <c r="C30" s="2"/>
      <c r="D30" s="2"/>
      <c r="E30" s="2"/>
      <c r="F30" s="18">
        <f>J23*25/50</f>
        <v>2.0507165808129751E-2</v>
      </c>
      <c r="G30" s="1" t="s">
        <v>59</v>
      </c>
    </row>
    <row r="31" spans="1:10" ht="15" customHeight="1" x14ac:dyDescent="0.15"/>
    <row r="32" spans="1:10" ht="15" customHeight="1" x14ac:dyDescent="0.15"/>
    <row r="33" spans="1:13" ht="15" customHeight="1" x14ac:dyDescent="0.15">
      <c r="A33" s="2" t="s">
        <v>34</v>
      </c>
      <c r="F33" s="1">
        <f>5*10^(-3)/100</f>
        <v>5.0000000000000002E-5</v>
      </c>
      <c r="G33" s="1" t="s">
        <v>60</v>
      </c>
      <c r="H33" s="1" t="s">
        <v>90</v>
      </c>
    </row>
    <row r="34" spans="1:13" ht="15" customHeight="1" x14ac:dyDescent="0.15">
      <c r="A34" s="2"/>
    </row>
    <row r="35" spans="1:13" ht="15" customHeight="1" x14ac:dyDescent="0.15"/>
    <row r="36" spans="1:13" ht="15" customHeight="1" x14ac:dyDescent="0.15">
      <c r="A36" s="2" t="s">
        <v>3</v>
      </c>
      <c r="F36" s="1" t="s">
        <v>89</v>
      </c>
    </row>
    <row r="37" spans="1:13" ht="15" customHeight="1" x14ac:dyDescent="0.15"/>
    <row r="38" spans="1:13" ht="15" customHeight="1" x14ac:dyDescent="0.15">
      <c r="A38" s="2" t="s">
        <v>27</v>
      </c>
    </row>
    <row r="39" spans="1:13" ht="59" customHeight="1" x14ac:dyDescent="0.15"/>
    <row r="40" spans="1:13" ht="40" customHeight="1" x14ac:dyDescent="0.2">
      <c r="C40" s="9" t="s">
        <v>6</v>
      </c>
      <c r="D40" s="9" t="s">
        <v>5</v>
      </c>
      <c r="E40" s="9" t="s">
        <v>33</v>
      </c>
      <c r="F40" s="9" t="s">
        <v>4</v>
      </c>
      <c r="M40" s="30"/>
    </row>
    <row r="41" spans="1:13" ht="15" customHeight="1" x14ac:dyDescent="0.2">
      <c r="C41" s="43">
        <v>1</v>
      </c>
      <c r="D41" s="44">
        <v>1</v>
      </c>
      <c r="E41" s="45">
        <f>C41*$F$30/25</f>
        <v>8.2028663232519008E-4</v>
      </c>
      <c r="F41" s="46">
        <v>0.156</v>
      </c>
    </row>
    <row r="42" spans="1:13" ht="15" customHeight="1" x14ac:dyDescent="0.2">
      <c r="C42" s="43">
        <v>2</v>
      </c>
      <c r="D42" s="44">
        <v>1</v>
      </c>
      <c r="E42" s="47">
        <f>$F$30*C42/25</f>
        <v>1.6405732646503802E-3</v>
      </c>
      <c r="F42" s="46">
        <v>0.33100000000000002</v>
      </c>
    </row>
    <row r="43" spans="1:13" ht="15" customHeight="1" x14ac:dyDescent="0.2">
      <c r="C43" s="43">
        <v>3</v>
      </c>
      <c r="D43" s="44">
        <v>1</v>
      </c>
      <c r="E43" s="47">
        <f>$F$30*C43/25</f>
        <v>2.4608598969755703E-3</v>
      </c>
      <c r="F43" s="46">
        <v>0.496</v>
      </c>
    </row>
    <row r="44" spans="1:13" ht="15" customHeight="1" x14ac:dyDescent="0.2">
      <c r="C44" s="43">
        <v>4</v>
      </c>
      <c r="D44" s="44">
        <v>1</v>
      </c>
      <c r="E44" s="47">
        <f>$F$30*C44/25</f>
        <v>3.2811465293007603E-3</v>
      </c>
      <c r="F44" s="46">
        <v>0.67500000000000004</v>
      </c>
    </row>
    <row r="45" spans="1:13" ht="15" customHeight="1" x14ac:dyDescent="0.2">
      <c r="C45" s="43">
        <v>5</v>
      </c>
      <c r="D45" s="44">
        <v>1</v>
      </c>
      <c r="E45" s="47">
        <f>$F$30*C45/25</f>
        <v>4.1014331616259503E-3</v>
      </c>
      <c r="F45" s="46">
        <v>0.86799999999999999</v>
      </c>
    </row>
    <row r="46" spans="1:13" ht="15" customHeight="1" x14ac:dyDescent="0.15"/>
    <row r="47" spans="1:13" ht="15" customHeight="1" x14ac:dyDescent="0.15">
      <c r="A47" s="2" t="s">
        <v>14</v>
      </c>
    </row>
    <row r="48" spans="1:13" ht="15" customHeight="1" x14ac:dyDescent="0.15"/>
    <row r="49" spans="1:6" ht="15" customHeight="1" x14ac:dyDescent="0.15">
      <c r="A49" s="2"/>
    </row>
    <row r="50" spans="1:6" ht="15" customHeight="1" x14ac:dyDescent="0.15"/>
    <row r="51" spans="1:6" ht="15" customHeight="1" x14ac:dyDescent="0.15"/>
    <row r="52" spans="1:6" ht="15" customHeight="1" x14ac:dyDescent="0.15"/>
    <row r="53" spans="1:6" ht="15" customHeight="1" x14ac:dyDescent="0.15">
      <c r="C53" s="4"/>
      <c r="D53" s="4"/>
    </row>
    <row r="54" spans="1:6" ht="15" customHeight="1" x14ac:dyDescent="0.15"/>
    <row r="55" spans="1:6" ht="15" customHeight="1" x14ac:dyDescent="0.15"/>
    <row r="56" spans="1:6" ht="15" customHeight="1" x14ac:dyDescent="0.15"/>
    <row r="57" spans="1:6" ht="15" customHeight="1" x14ac:dyDescent="0.15"/>
    <row r="58" spans="1:6" ht="15" customHeight="1" x14ac:dyDescent="0.15"/>
    <row r="59" spans="1:6" ht="15" customHeight="1" x14ac:dyDescent="0.15"/>
    <row r="60" spans="1:6" ht="15" customHeight="1" x14ac:dyDescent="0.15"/>
    <row r="61" spans="1:6" ht="15" customHeight="1" x14ac:dyDescent="0.15">
      <c r="A61" s="2" t="s">
        <v>8</v>
      </c>
    </row>
    <row r="62" spans="1:6" ht="15" customHeight="1" x14ac:dyDescent="0.15">
      <c r="A62" s="2" t="s">
        <v>10</v>
      </c>
      <c r="E62" s="16">
        <f>25*E43/(F33*10^3)</f>
        <v>1.2304299484877852</v>
      </c>
      <c r="F62" s="1" t="s">
        <v>67</v>
      </c>
    </row>
    <row r="63" spans="1:6" ht="15" customHeight="1" x14ac:dyDescent="0.15"/>
    <row r="64" spans="1:6" ht="15" customHeight="1" x14ac:dyDescent="0.15">
      <c r="A64" s="2" t="s">
        <v>9</v>
      </c>
      <c r="E64" s="31">
        <v>1</v>
      </c>
      <c r="F64" s="1" t="s">
        <v>67</v>
      </c>
    </row>
    <row r="65" spans="1:11" ht="15" customHeight="1" x14ac:dyDescent="0.15">
      <c r="E65" s="31"/>
    </row>
    <row r="66" spans="1:11" ht="15" customHeight="1" x14ac:dyDescent="0.15">
      <c r="A66" s="2" t="s">
        <v>11</v>
      </c>
      <c r="E66" s="31">
        <v>2.3E-2</v>
      </c>
    </row>
    <row r="67" spans="1:11" ht="15" customHeight="1" x14ac:dyDescent="0.15">
      <c r="E67" s="31"/>
    </row>
    <row r="68" spans="1:11" ht="15" customHeight="1" x14ac:dyDescent="0.15">
      <c r="A68" s="2" t="s">
        <v>12</v>
      </c>
      <c r="E68" s="31">
        <v>0.45600000000000002</v>
      </c>
    </row>
    <row r="69" spans="1:11" ht="15" customHeight="1" x14ac:dyDescent="0.15">
      <c r="E69" s="31"/>
    </row>
    <row r="70" spans="1:11" ht="15" customHeight="1" x14ac:dyDescent="0.15">
      <c r="A70" s="2" t="s">
        <v>13</v>
      </c>
      <c r="B70" s="2"/>
      <c r="E70" s="31">
        <f>E68-E66</f>
        <v>0.433</v>
      </c>
    </row>
    <row r="71" spans="1:11" ht="15" customHeight="1" x14ac:dyDescent="0.15"/>
    <row r="72" spans="1:11" ht="15" customHeight="1" x14ac:dyDescent="0.15">
      <c r="A72" s="2" t="s">
        <v>28</v>
      </c>
    </row>
    <row r="73" spans="1:11" ht="32" customHeight="1" x14ac:dyDescent="0.15">
      <c r="H73" s="49" t="s">
        <v>84</v>
      </c>
      <c r="I73" s="50"/>
      <c r="J73" s="50"/>
      <c r="K73" s="51"/>
    </row>
    <row r="74" spans="1:11" ht="15" customHeight="1" x14ac:dyDescent="0.2">
      <c r="H74" s="32" t="s">
        <v>85</v>
      </c>
      <c r="I74" s="33" cm="1">
        <f t="array" ref="I74:J78">LINEST(F41:F45,E41:E45,1,1)</f>
        <v>215.53441569423305</v>
      </c>
      <c r="J74" s="34">
        <v>-2.5200000000000111E-2</v>
      </c>
      <c r="K74" s="35" t="s">
        <v>87</v>
      </c>
    </row>
    <row r="75" spans="1:11" ht="15" customHeight="1" x14ac:dyDescent="0.2">
      <c r="H75" s="32" t="s">
        <v>86</v>
      </c>
      <c r="I75" s="33">
        <v>3.4795600765272168</v>
      </c>
      <c r="J75" s="34">
        <v>9.4664319219721679E-3</v>
      </c>
      <c r="K75" s="35" t="s">
        <v>88</v>
      </c>
    </row>
    <row r="76" spans="1:11" ht="15" customHeight="1" x14ac:dyDescent="0.2">
      <c r="H76" s="32" t="s">
        <v>61</v>
      </c>
      <c r="I76" s="34">
        <v>0.99921873701358077</v>
      </c>
      <c r="J76" s="34">
        <v>9.0258886912407098E-3</v>
      </c>
      <c r="K76" s="35" t="s">
        <v>62</v>
      </c>
    </row>
    <row r="77" spans="1:11" ht="15" customHeight="1" x14ac:dyDescent="0.2">
      <c r="H77" s="32" t="s">
        <v>63</v>
      </c>
      <c r="I77" s="33">
        <v>3836.936170212753</v>
      </c>
      <c r="J77" s="35">
        <v>3</v>
      </c>
      <c r="K77" s="35" t="s">
        <v>64</v>
      </c>
    </row>
    <row r="78" spans="1:11" ht="15" customHeight="1" x14ac:dyDescent="0.2">
      <c r="H78" s="32" t="s">
        <v>65</v>
      </c>
      <c r="I78" s="36">
        <v>0.31258240000000004</v>
      </c>
      <c r="J78" s="37">
        <v>2.4440000000000084E-4</v>
      </c>
      <c r="K78" s="35" t="s">
        <v>66</v>
      </c>
    </row>
    <row r="79" spans="1:11" ht="15" customHeight="1" x14ac:dyDescent="0.15"/>
    <row r="80" spans="1:11" ht="15" customHeight="1" x14ac:dyDescent="0.15"/>
    <row r="81" spans="1:11" ht="15" customHeight="1" x14ac:dyDescent="0.15"/>
    <row r="82" spans="1:11" ht="15" customHeight="1" x14ac:dyDescent="0.15"/>
    <row r="83" spans="1:11" ht="15" customHeight="1" x14ac:dyDescent="0.15"/>
    <row r="84" spans="1:11" ht="15" customHeight="1" x14ac:dyDescent="0.15"/>
    <row r="85" spans="1:11" ht="82" customHeight="1" x14ac:dyDescent="0.15"/>
    <row r="86" spans="1:11" ht="15" customHeight="1" x14ac:dyDescent="0.15"/>
    <row r="87" spans="1:11" ht="15" customHeight="1" x14ac:dyDescent="0.15"/>
    <row r="88" spans="1:11" ht="15" customHeight="1" x14ac:dyDescent="0.15">
      <c r="A88" s="2" t="s">
        <v>30</v>
      </c>
      <c r="G88" s="18">
        <f>(E70-J74)/I74</f>
        <v>2.1258785912409623E-3</v>
      </c>
      <c r="H88" s="1" t="s">
        <v>59</v>
      </c>
      <c r="J88" s="39" t="s">
        <v>91</v>
      </c>
      <c r="K88" s="40">
        <f>AVERAGE(F41:F45)</f>
        <v>0.50519999999999998</v>
      </c>
    </row>
    <row r="89" spans="1:11" ht="15" customHeight="1" x14ac:dyDescent="0.15">
      <c r="J89" s="39" t="s">
        <v>68</v>
      </c>
      <c r="K89" s="41">
        <f>VARPA(E41:E45)*5</f>
        <v>6.7287015917140157E-6</v>
      </c>
    </row>
    <row r="90" spans="1:11" ht="15" customHeight="1" x14ac:dyDescent="0.15">
      <c r="J90" s="39" t="s">
        <v>69</v>
      </c>
      <c r="K90" s="41">
        <f>J76/I74*SQRT(1+1/5+((E70-K88)^2)/(I74^2*K89))</f>
        <v>4.6191380379766698E-5</v>
      </c>
    </row>
    <row r="91" spans="1:11" ht="15" customHeight="1" x14ac:dyDescent="0.15">
      <c r="A91" s="2" t="s">
        <v>35</v>
      </c>
      <c r="G91" s="18">
        <f>K91*K90</f>
        <v>1.4700158782554295E-4</v>
      </c>
      <c r="H91" s="1" t="s">
        <v>59</v>
      </c>
      <c r="J91" s="39" t="s">
        <v>70</v>
      </c>
      <c r="K91" s="40">
        <f>_xlfn.T.INV.2T(0.05,J77)</f>
        <v>3.1824463052837091</v>
      </c>
    </row>
    <row r="92" spans="1:11" ht="15" customHeight="1" x14ac:dyDescent="0.15">
      <c r="A92" s="2"/>
    </row>
    <row r="93" spans="1:11" ht="15" customHeight="1" x14ac:dyDescent="0.15"/>
    <row r="94" spans="1:11" ht="15" customHeight="1" x14ac:dyDescent="0.15">
      <c r="A94" s="2" t="s">
        <v>71</v>
      </c>
      <c r="G94" s="20">
        <f>G88*25/E64*100</f>
        <v>5.3146964781024053</v>
      </c>
      <c r="H94" s="21" t="s">
        <v>72</v>
      </c>
      <c r="I94" s="20">
        <f>G91*25/E64*100</f>
        <v>0.36750396956385739</v>
      </c>
      <c r="J94" s="17" t="s">
        <v>73</v>
      </c>
    </row>
    <row r="95" spans="1:11" ht="15" customHeight="1" x14ac:dyDescent="0.15"/>
    <row r="96" spans="1:11" ht="15" customHeight="1" x14ac:dyDescent="0.15">
      <c r="A96" s="2"/>
    </row>
    <row r="97" spans="1:10" ht="15" customHeight="1" x14ac:dyDescent="0.15">
      <c r="A97" s="2" t="s">
        <v>39</v>
      </c>
    </row>
    <row r="98" spans="1:10" ht="15" customHeight="1" x14ac:dyDescent="0.15">
      <c r="A98" s="2"/>
    </row>
    <row r="99" spans="1:10" ht="15" customHeight="1" x14ac:dyDescent="0.2">
      <c r="A99" s="2"/>
      <c r="B99" s="54"/>
      <c r="C99" s="54"/>
      <c r="D99" s="54"/>
      <c r="E99" s="54"/>
      <c r="F99" s="54"/>
      <c r="G99" s="54"/>
      <c r="H99" s="54"/>
      <c r="I99" s="54"/>
      <c r="J99" s="15"/>
    </row>
    <row r="100" spans="1:10" ht="15" customHeight="1" x14ac:dyDescent="0.15">
      <c r="A100" s="2"/>
    </row>
    <row r="101" spans="1:10" ht="15" customHeight="1" x14ac:dyDescent="0.15"/>
    <row r="102" spans="1:10" ht="15" customHeight="1" x14ac:dyDescent="0.15">
      <c r="A102" s="2" t="s">
        <v>40</v>
      </c>
    </row>
    <row r="103" spans="1:10" ht="15" customHeight="1" x14ac:dyDescent="0.15">
      <c r="B103" s="2" t="s">
        <v>38</v>
      </c>
    </row>
    <row r="104" spans="1:10" ht="60" customHeight="1" x14ac:dyDescent="0.15">
      <c r="C104" s="38" t="s">
        <v>21</v>
      </c>
      <c r="D104" s="38" t="s">
        <v>17</v>
      </c>
      <c r="E104" s="38" t="s">
        <v>29</v>
      </c>
      <c r="F104" s="38" t="s">
        <v>18</v>
      </c>
      <c r="G104" s="38" t="s">
        <v>19</v>
      </c>
      <c r="H104" s="38" t="s">
        <v>20</v>
      </c>
    </row>
    <row r="105" spans="1:10" ht="15" customHeight="1" x14ac:dyDescent="0.15">
      <c r="C105" s="23" t="s">
        <v>75</v>
      </c>
      <c r="D105" s="22">
        <f>G94</f>
        <v>5.3146964781024053</v>
      </c>
      <c r="E105" s="22">
        <f>I94</f>
        <v>0.36750396956385739</v>
      </c>
      <c r="F105" s="52">
        <f>AVERAGE(D105:D112)</f>
        <v>5.3146964781024053</v>
      </c>
      <c r="G105" s="53" t="e">
        <f>STDEV(D105:D112)</f>
        <v>#DIV/0!</v>
      </c>
      <c r="H105" s="53" t="e">
        <f>G105/F105*100</f>
        <v>#DIV/0!</v>
      </c>
    </row>
    <row r="106" spans="1:10" ht="15" customHeight="1" x14ac:dyDescent="0.15">
      <c r="C106" s="23"/>
      <c r="D106" s="22"/>
      <c r="E106" s="22"/>
      <c r="F106" s="52"/>
      <c r="G106" s="53"/>
      <c r="H106" s="53"/>
    </row>
    <row r="107" spans="1:10" ht="15" customHeight="1" x14ac:dyDescent="0.15">
      <c r="C107" s="23"/>
      <c r="D107" s="22"/>
      <c r="E107" s="22"/>
      <c r="F107" s="52"/>
      <c r="G107" s="53"/>
      <c r="H107" s="53"/>
    </row>
    <row r="108" spans="1:10" ht="15" customHeight="1" x14ac:dyDescent="0.15">
      <c r="C108" s="23"/>
      <c r="D108" s="22"/>
      <c r="E108" s="22"/>
      <c r="F108" s="52"/>
      <c r="G108" s="53"/>
      <c r="H108" s="53"/>
    </row>
    <row r="109" spans="1:10" ht="15" customHeight="1" x14ac:dyDescent="0.15">
      <c r="C109" s="23"/>
      <c r="D109" s="23"/>
      <c r="E109" s="23"/>
      <c r="F109" s="52"/>
      <c r="G109" s="53"/>
      <c r="H109" s="53"/>
    </row>
    <row r="110" spans="1:10" ht="15" customHeight="1" x14ac:dyDescent="0.15">
      <c r="C110" s="23"/>
      <c r="D110" s="23"/>
      <c r="E110" s="23"/>
      <c r="F110" s="52"/>
      <c r="G110" s="53"/>
      <c r="H110" s="53"/>
    </row>
    <row r="111" spans="1:10" ht="15" customHeight="1" x14ac:dyDescent="0.15">
      <c r="C111" s="23"/>
      <c r="D111" s="23"/>
      <c r="E111" s="23"/>
      <c r="F111" s="52"/>
      <c r="G111" s="53"/>
      <c r="H111" s="53"/>
    </row>
    <row r="112" spans="1:10" ht="15" customHeight="1" x14ac:dyDescent="0.15">
      <c r="C112" s="23"/>
      <c r="D112" s="23"/>
      <c r="E112" s="23"/>
      <c r="F112" s="52"/>
      <c r="G112" s="53"/>
      <c r="H112" s="53"/>
    </row>
    <row r="114" spans="1:20" s="2" customFormat="1" ht="23.2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3.25" customHeight="1" x14ac:dyDescent="0.15">
      <c r="A115" s="2" t="s">
        <v>41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7" spans="1:20" ht="23.25" customHeight="1" x14ac:dyDescent="0.15">
      <c r="B117" s="42"/>
      <c r="C117" s="42"/>
      <c r="D117" s="42"/>
      <c r="E117" s="42"/>
      <c r="F117" s="42"/>
      <c r="G117" s="42"/>
      <c r="H117" s="42"/>
    </row>
    <row r="118" spans="1:20" ht="23.25" customHeight="1" x14ac:dyDescent="0.25">
      <c r="B118" s="42"/>
      <c r="C118" s="42"/>
      <c r="D118" s="42"/>
      <c r="E118" s="42"/>
      <c r="F118" s="42"/>
      <c r="G118" s="42"/>
      <c r="H118" s="42"/>
      <c r="J118" s="24"/>
    </row>
    <row r="119" spans="1:20" ht="23.25" customHeight="1" x14ac:dyDescent="0.15">
      <c r="B119" s="42"/>
      <c r="C119" s="42"/>
      <c r="D119" s="42"/>
      <c r="E119" s="42"/>
      <c r="F119" s="42"/>
      <c r="G119" s="42"/>
      <c r="H119" s="42"/>
    </row>
    <row r="120" spans="1:20" ht="23.25" customHeight="1" x14ac:dyDescent="0.15">
      <c r="B120" s="42"/>
      <c r="C120" s="42"/>
      <c r="D120" s="42"/>
      <c r="E120" s="42"/>
      <c r="F120" s="42"/>
      <c r="G120" s="42"/>
      <c r="H120" s="42"/>
    </row>
    <row r="121" spans="1:20" ht="23.25" customHeight="1" x14ac:dyDescent="0.15">
      <c r="B121" s="42"/>
      <c r="C121" s="42"/>
      <c r="D121" s="42"/>
      <c r="E121" s="42"/>
      <c r="F121" s="42"/>
      <c r="G121" s="42"/>
      <c r="H121" s="42"/>
    </row>
    <row r="122" spans="1:20" ht="23.25" customHeight="1" x14ac:dyDescent="0.15">
      <c r="B122" s="42"/>
      <c r="C122" s="42"/>
      <c r="D122" s="42"/>
      <c r="E122" s="42"/>
      <c r="F122" s="42"/>
      <c r="G122" s="42"/>
      <c r="H122" s="42"/>
    </row>
    <row r="123" spans="1:20" s="8" customFormat="1" ht="23.2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s="8" customFormat="1" ht="16.5" customHeight="1" x14ac:dyDescent="0.15">
      <c r="B124" s="8" t="s">
        <v>31</v>
      </c>
    </row>
    <row r="125" spans="1:20" ht="23.25" customHeight="1" x14ac:dyDescent="0.15">
      <c r="A125" s="8"/>
      <c r="B125" s="8" t="s">
        <v>32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</sheetData>
  <mergeCells count="7">
    <mergeCell ref="B2:D2"/>
    <mergeCell ref="B3:D3"/>
    <mergeCell ref="H73:K73"/>
    <mergeCell ref="F105:F112"/>
    <mergeCell ref="G105:G112"/>
    <mergeCell ref="H105:H112"/>
    <mergeCell ref="B99:I9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9188-8C26-46AC-9125-C3FFA8836C4E}">
  <sheetPr>
    <pageSetUpPr fitToPage="1"/>
  </sheetPr>
  <dimension ref="A1:H93"/>
  <sheetViews>
    <sheetView showGridLines="0" tabSelected="1" zoomScale="139" zoomScaleNormal="100" workbookViewId="0">
      <selection activeCell="C13" sqref="C13"/>
    </sheetView>
  </sheetViews>
  <sheetFormatPr baseColWidth="10" defaultColWidth="11.5" defaultRowHeight="23.25" customHeight="1" x14ac:dyDescent="0.15"/>
  <cols>
    <col min="1" max="1" width="17.33203125" style="1" customWidth="1"/>
    <col min="2" max="2" width="18" style="1" customWidth="1"/>
    <col min="3" max="3" width="22" style="1" customWidth="1"/>
    <col min="4" max="8" width="12.6640625" style="1" customWidth="1"/>
    <col min="9" max="9" width="15" style="1" customWidth="1"/>
    <col min="10" max="16384" width="11.5" style="1"/>
  </cols>
  <sheetData>
    <row r="1" spans="1:7" ht="21" customHeight="1" x14ac:dyDescent="0.2">
      <c r="A1" s="3" t="s">
        <v>16</v>
      </c>
      <c r="E1" s="15" t="s">
        <v>15</v>
      </c>
      <c r="F1" s="25">
        <v>45796</v>
      </c>
    </row>
    <row r="2" spans="1:7" ht="15" customHeight="1" x14ac:dyDescent="0.2">
      <c r="A2" s="15" t="s">
        <v>0</v>
      </c>
      <c r="B2" s="48" t="s">
        <v>74</v>
      </c>
      <c r="C2" s="48"/>
      <c r="D2" s="48"/>
      <c r="E2" s="15" t="s">
        <v>7</v>
      </c>
      <c r="F2" s="26" t="s">
        <v>75</v>
      </c>
    </row>
    <row r="3" spans="1:7" ht="15" customHeight="1" x14ac:dyDescent="0.2">
      <c r="A3" s="15" t="s">
        <v>1</v>
      </c>
      <c r="B3" s="48" t="s">
        <v>76</v>
      </c>
      <c r="C3" s="48"/>
      <c r="D3" s="48"/>
      <c r="E3"/>
      <c r="F3"/>
    </row>
    <row r="4" spans="1:7" ht="15" customHeight="1" x14ac:dyDescent="0.15">
      <c r="A4" s="2"/>
    </row>
    <row r="5" spans="1:7" ht="15" customHeight="1" x14ac:dyDescent="0.15">
      <c r="A5" s="2" t="s">
        <v>47</v>
      </c>
    </row>
    <row r="6" spans="1:7" ht="15" customHeight="1" x14ac:dyDescent="0.15">
      <c r="A6" s="2"/>
    </row>
    <row r="7" spans="1:7" ht="15" customHeight="1" x14ac:dyDescent="0.15">
      <c r="A7" s="2"/>
    </row>
    <row r="8" spans="1:7" ht="15" customHeight="1" x14ac:dyDescent="0.15">
      <c r="A8" s="2"/>
    </row>
    <row r="9" spans="1:7" ht="207" customHeight="1" x14ac:dyDescent="0.15">
      <c r="A9" s="2"/>
    </row>
    <row r="10" spans="1:7" ht="15" customHeight="1" x14ac:dyDescent="0.15">
      <c r="A10" s="2" t="s">
        <v>42</v>
      </c>
    </row>
    <row r="11" spans="1:7" ht="15" customHeight="1" x14ac:dyDescent="0.15"/>
    <row r="12" spans="1:7" ht="23.25" customHeight="1" x14ac:dyDescent="0.2">
      <c r="C12" s="14" t="s">
        <v>48</v>
      </c>
      <c r="D12" s="14" t="s">
        <v>43</v>
      </c>
      <c r="E12" s="14" t="s">
        <v>44</v>
      </c>
      <c r="G12" s="27"/>
    </row>
    <row r="13" spans="1:7" ht="23.25" customHeight="1" x14ac:dyDescent="0.15">
      <c r="C13" s="13"/>
      <c r="D13" s="13"/>
      <c r="E13" s="13"/>
    </row>
    <row r="14" spans="1:7" ht="23.25" customHeight="1" x14ac:dyDescent="0.15">
      <c r="C14" s="13"/>
      <c r="D14" s="13"/>
      <c r="E14" s="13"/>
    </row>
    <row r="15" spans="1:7" ht="23.25" customHeight="1" x14ac:dyDescent="0.15">
      <c r="C15" s="13"/>
      <c r="D15" s="13"/>
      <c r="E15" s="13"/>
    </row>
    <row r="16" spans="1:7" ht="23.25" customHeight="1" x14ac:dyDescent="0.15">
      <c r="C16" s="13"/>
      <c r="D16" s="13"/>
      <c r="E16" s="13"/>
    </row>
    <row r="17" spans="1:5" ht="23.25" customHeight="1" x14ac:dyDescent="0.15">
      <c r="C17" s="13"/>
      <c r="D17" s="13"/>
      <c r="E17" s="13"/>
    </row>
    <row r="18" spans="1:5" ht="23.25" customHeight="1" x14ac:dyDescent="0.15">
      <c r="D18" s="4"/>
    </row>
    <row r="19" spans="1:5" ht="15" customHeight="1" x14ac:dyDescent="0.15">
      <c r="A19" s="2" t="s">
        <v>45</v>
      </c>
    </row>
    <row r="20" spans="1:5" ht="15" customHeight="1" x14ac:dyDescent="0.15"/>
    <row r="21" spans="1:5" ht="15" customHeight="1" x14ac:dyDescent="0.15"/>
    <row r="22" spans="1:5" ht="15" customHeight="1" x14ac:dyDescent="0.15"/>
    <row r="23" spans="1:5" ht="15" customHeight="1" x14ac:dyDescent="0.15"/>
    <row r="24" spans="1:5" ht="15" customHeight="1" x14ac:dyDescent="0.15"/>
    <row r="25" spans="1:5" ht="15" customHeight="1" x14ac:dyDescent="0.15"/>
    <row r="26" spans="1:5" ht="15" customHeight="1" x14ac:dyDescent="0.15"/>
    <row r="27" spans="1:5" ht="15" customHeight="1" x14ac:dyDescent="0.15"/>
    <row r="28" spans="1:5" ht="15" customHeight="1" x14ac:dyDescent="0.15"/>
    <row r="29" spans="1:5" ht="15" customHeight="1" x14ac:dyDescent="0.15"/>
    <row r="30" spans="1:5" ht="15" customHeight="1" x14ac:dyDescent="0.15"/>
    <row r="31" spans="1:5" ht="15" customHeight="1" x14ac:dyDescent="0.15"/>
    <row r="32" spans="1:5" ht="15" customHeight="1" x14ac:dyDescent="0.15"/>
    <row r="33" spans="1:1" ht="15" customHeight="1" x14ac:dyDescent="0.15"/>
    <row r="34" spans="1:1" ht="15" customHeight="1" x14ac:dyDescent="0.15"/>
    <row r="35" spans="1:1" ht="15" customHeight="1" x14ac:dyDescent="0.15">
      <c r="A35" s="2" t="s">
        <v>49</v>
      </c>
    </row>
    <row r="36" spans="1:1" ht="15" customHeight="1" x14ac:dyDescent="0.15"/>
    <row r="37" spans="1:1" ht="15" customHeight="1" x14ac:dyDescent="0.15"/>
    <row r="38" spans="1:1" ht="15" customHeight="1" x14ac:dyDescent="0.15">
      <c r="A38" s="2" t="s">
        <v>46</v>
      </c>
    </row>
    <row r="39" spans="1:1" ht="15" customHeight="1" x14ac:dyDescent="0.15">
      <c r="A39" s="2"/>
    </row>
    <row r="40" spans="1:1" ht="15" customHeight="1" x14ac:dyDescent="0.15"/>
    <row r="41" spans="1:1" ht="15" customHeight="1" x14ac:dyDescent="0.15">
      <c r="A41" s="2" t="s">
        <v>50</v>
      </c>
    </row>
    <row r="42" spans="1:1" ht="15" customHeight="1" x14ac:dyDescent="0.15"/>
    <row r="43" spans="1:1" ht="15" customHeight="1" x14ac:dyDescent="0.15">
      <c r="A43" s="2"/>
    </row>
    <row r="44" spans="1:1" ht="15" customHeight="1" x14ac:dyDescent="0.15">
      <c r="A44" s="2" t="s">
        <v>51</v>
      </c>
    </row>
    <row r="45" spans="1:1" ht="15" customHeight="1" x14ac:dyDescent="0.15">
      <c r="A45" s="2"/>
    </row>
    <row r="46" spans="1:1" ht="15" customHeight="1" x14ac:dyDescent="0.15">
      <c r="A46" s="2"/>
    </row>
    <row r="47" spans="1:1" ht="15" customHeight="1" x14ac:dyDescent="0.15">
      <c r="A47" s="2"/>
    </row>
    <row r="48" spans="1:1" ht="15" customHeight="1" x14ac:dyDescent="0.15">
      <c r="A48" s="2"/>
    </row>
    <row r="49" spans="1:8" ht="15" customHeight="1" x14ac:dyDescent="0.15"/>
    <row r="50" spans="1:8" ht="15" customHeight="1" x14ac:dyDescent="0.15">
      <c r="A50" s="2" t="s">
        <v>53</v>
      </c>
    </row>
    <row r="51" spans="1:8" ht="15" customHeight="1" x14ac:dyDescent="0.15">
      <c r="B51" s="2" t="s">
        <v>38</v>
      </c>
    </row>
    <row r="52" spans="1:8" ht="15" customHeight="1" thickBot="1" x14ac:dyDescent="0.2">
      <c r="B52" s="2"/>
    </row>
    <row r="53" spans="1:8" ht="58" customHeight="1" x14ac:dyDescent="0.15">
      <c r="C53" s="5" t="s">
        <v>21</v>
      </c>
      <c r="D53" s="6" t="s">
        <v>17</v>
      </c>
      <c r="E53" s="6" t="s">
        <v>29</v>
      </c>
      <c r="F53" s="6" t="s">
        <v>18</v>
      </c>
      <c r="G53" s="6" t="s">
        <v>19</v>
      </c>
      <c r="H53" s="7" t="s">
        <v>20</v>
      </c>
    </row>
    <row r="54" spans="1:8" ht="15" customHeight="1" x14ac:dyDescent="0.15">
      <c r="C54" s="11" t="s">
        <v>22</v>
      </c>
      <c r="D54" s="9"/>
      <c r="E54" s="9"/>
      <c r="F54" s="55"/>
      <c r="G54" s="57"/>
      <c r="H54" s="59"/>
    </row>
    <row r="55" spans="1:8" ht="15" customHeight="1" x14ac:dyDescent="0.15">
      <c r="C55" s="11"/>
      <c r="D55" s="9"/>
      <c r="E55" s="9"/>
      <c r="F55" s="55"/>
      <c r="G55" s="57"/>
      <c r="H55" s="59"/>
    </row>
    <row r="56" spans="1:8" ht="15" customHeight="1" x14ac:dyDescent="0.15">
      <c r="C56" s="11"/>
      <c r="D56" s="9"/>
      <c r="E56" s="9"/>
      <c r="F56" s="55"/>
      <c r="G56" s="57"/>
      <c r="H56" s="59"/>
    </row>
    <row r="57" spans="1:8" ht="15" customHeight="1" x14ac:dyDescent="0.15">
      <c r="C57" s="11"/>
      <c r="D57" s="9"/>
      <c r="E57" s="9"/>
      <c r="F57" s="55"/>
      <c r="G57" s="57"/>
      <c r="H57" s="59"/>
    </row>
    <row r="58" spans="1:8" ht="15" customHeight="1" x14ac:dyDescent="0.15">
      <c r="C58" s="11"/>
      <c r="D58" s="9"/>
      <c r="E58" s="9"/>
      <c r="F58" s="55"/>
      <c r="G58" s="57"/>
      <c r="H58" s="59"/>
    </row>
    <row r="59" spans="1:8" ht="15" customHeight="1" x14ac:dyDescent="0.15">
      <c r="C59" s="11"/>
      <c r="D59" s="9"/>
      <c r="E59" s="9"/>
      <c r="F59" s="55"/>
      <c r="G59" s="57"/>
      <c r="H59" s="59"/>
    </row>
    <row r="60" spans="1:8" ht="15" customHeight="1" x14ac:dyDescent="0.15">
      <c r="C60" s="11"/>
      <c r="D60" s="9"/>
      <c r="E60" s="9"/>
      <c r="F60" s="55"/>
      <c r="G60" s="57"/>
      <c r="H60" s="59"/>
    </row>
    <row r="61" spans="1:8" ht="15" customHeight="1" thickBot="1" x14ac:dyDescent="0.2">
      <c r="C61" s="12"/>
      <c r="D61" s="10"/>
      <c r="E61" s="10"/>
      <c r="F61" s="56"/>
      <c r="G61" s="58"/>
      <c r="H61" s="60"/>
    </row>
    <row r="62" spans="1:8" ht="16.5" customHeight="1" x14ac:dyDescent="0.15"/>
    <row r="63" spans="1:8" s="2" customFormat="1" ht="16" customHeight="1" x14ac:dyDescent="0.15">
      <c r="A63" s="2" t="s">
        <v>55</v>
      </c>
    </row>
    <row r="64" spans="1:8" ht="23.25" customHeight="1" x14ac:dyDescent="0.15">
      <c r="C64" s="2"/>
    </row>
    <row r="67" spans="1:1" ht="21" customHeight="1" x14ac:dyDescent="0.15"/>
    <row r="68" spans="1:1" s="2" customFormat="1" ht="21" customHeight="1" x14ac:dyDescent="0.15">
      <c r="A68" s="2" t="s">
        <v>54</v>
      </c>
    </row>
    <row r="69" spans="1:1" s="2" customFormat="1" ht="21" customHeight="1" x14ac:dyDescent="0.15">
      <c r="A69" s="2" t="s">
        <v>37</v>
      </c>
    </row>
    <row r="70" spans="1:1" s="2" customFormat="1" ht="21" customHeight="1" x14ac:dyDescent="0.15"/>
    <row r="71" spans="1:1" s="2" customFormat="1" ht="21" customHeight="1" x14ac:dyDescent="0.15"/>
    <row r="72" spans="1:1" s="2" customFormat="1" ht="21" customHeight="1" x14ac:dyDescent="0.15"/>
    <row r="73" spans="1:1" s="2" customFormat="1" ht="21" customHeight="1" x14ac:dyDescent="0.15"/>
    <row r="74" spans="1:1" s="2" customFormat="1" ht="21" customHeight="1" x14ac:dyDescent="0.15">
      <c r="A74" s="2" t="s">
        <v>56</v>
      </c>
    </row>
    <row r="75" spans="1:1" s="2" customFormat="1" ht="21" customHeight="1" x14ac:dyDescent="0.15"/>
    <row r="76" spans="1:1" s="2" customFormat="1" ht="21" customHeight="1" x14ac:dyDescent="0.15"/>
    <row r="77" spans="1:1" s="2" customFormat="1" ht="21" customHeight="1" x14ac:dyDescent="0.15"/>
    <row r="78" spans="1:1" s="2" customFormat="1" ht="21" customHeight="1" x14ac:dyDescent="0.15"/>
    <row r="79" spans="1:1" s="2" customFormat="1" ht="21" customHeight="1" x14ac:dyDescent="0.15">
      <c r="A79" s="2" t="s">
        <v>57</v>
      </c>
    </row>
    <row r="80" spans="1:1" ht="21" customHeight="1" x14ac:dyDescent="0.15"/>
    <row r="81" spans="2:2" ht="21" customHeight="1" x14ac:dyDescent="0.15"/>
    <row r="82" spans="2:2" ht="21" customHeight="1" x14ac:dyDescent="0.15"/>
    <row r="83" spans="2:2" ht="21" customHeight="1" x14ac:dyDescent="0.15"/>
    <row r="84" spans="2:2" ht="21" customHeight="1" x14ac:dyDescent="0.15"/>
    <row r="85" spans="2:2" ht="21" customHeight="1" x14ac:dyDescent="0.15"/>
    <row r="86" spans="2:2" s="8" customFormat="1" ht="23.25" customHeight="1" x14ac:dyDescent="0.15">
      <c r="B86" s="8" t="s">
        <v>52</v>
      </c>
    </row>
    <row r="87" spans="2:2" s="8" customFormat="1" ht="16.5" customHeight="1" x14ac:dyDescent="0.15">
      <c r="B87" s="8" t="s">
        <v>32</v>
      </c>
    </row>
    <row r="88" spans="2:2" ht="21" customHeight="1" x14ac:dyDescent="0.15"/>
    <row r="89" spans="2:2" ht="21" customHeight="1" x14ac:dyDescent="0.15"/>
    <row r="90" spans="2:2" ht="21" customHeight="1" x14ac:dyDescent="0.15"/>
    <row r="91" spans="2:2" ht="21" customHeight="1" x14ac:dyDescent="0.15"/>
    <row r="92" spans="2:2" ht="21" customHeight="1" x14ac:dyDescent="0.15"/>
    <row r="93" spans="2:2" ht="21" customHeight="1" x14ac:dyDescent="0.15"/>
  </sheetData>
  <mergeCells count="5">
    <mergeCell ref="F54:F61"/>
    <mergeCell ref="G54:G61"/>
    <mergeCell ref="H54:H6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3A51-8AF8-48EE-9793-39623F5653C7}">
  <dimension ref="A1"/>
  <sheetViews>
    <sheetView workbookViewId="0">
      <selection activeCell="D35" sqref="D3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C1</vt:lpstr>
      <vt:lpstr>C2</vt:lpstr>
      <vt:lpstr>Càlculs</vt:lpstr>
      <vt:lpstr>'C1'!Print_Area</vt:lpstr>
      <vt:lpstr>'C2'!Print_Area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Sergio Castañeiras Morales</cp:lastModifiedBy>
  <cp:lastPrinted>2021-04-16T08:01:40Z</cp:lastPrinted>
  <dcterms:created xsi:type="dcterms:W3CDTF">2021-03-22T14:48:22Z</dcterms:created>
  <dcterms:modified xsi:type="dcterms:W3CDTF">2025-05-18T19:44:20Z</dcterms:modified>
</cp:coreProperties>
</file>