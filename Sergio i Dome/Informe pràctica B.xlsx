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166925"/>
  <mc:AlternateContent xmlns:mc="http://schemas.openxmlformats.org/markup-compatibility/2006">
    <mc:Choice Requires="x15">
      <x15ac:absPath xmlns:x15ac="http://schemas.microsoft.com/office/spreadsheetml/2010/11/ac" url="/Users/sergio/Desktop/University/5nto/LACE/LACE/Sergio i Dome/"/>
    </mc:Choice>
  </mc:AlternateContent>
  <xr:revisionPtr revIDLastSave="0" documentId="13_ncr:1_{6FB62DCA-9A76-BB40-960F-59DDBFD75B43}" xr6:coauthVersionLast="47" xr6:coauthVersionMax="47" xr10:uidLastSave="{00000000-0000-0000-0000-000000000000}"/>
  <bookViews>
    <workbookView xWindow="0" yWindow="840" windowWidth="34200" windowHeight="21400" xr2:uid="{C1122783-245A-4FED-BDEB-F09B1698DCDF}"/>
  </bookViews>
  <sheets>
    <sheet name="Pràctica A" sheetId="1" r:id="rId1"/>
    <sheet name="Càlculs" sheetId="2"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1" l="1"/>
  <c r="F45" i="1"/>
  <c r="B21" i="1"/>
  <c r="A37" i="1" s="1"/>
  <c r="L45" i="1"/>
  <c r="B32" i="1"/>
  <c r="B28" i="1"/>
  <c r="B31" i="1" s="1"/>
  <c r="A39" i="1" l="1"/>
  <c r="D39" i="1" s="1"/>
  <c r="A40" i="1"/>
  <c r="D40" i="1" s="1"/>
  <c r="A38" i="1"/>
  <c r="D38" i="1" s="1"/>
  <c r="A41" i="1"/>
  <c r="D41" i="1" s="1"/>
  <c r="D37" i="1"/>
  <c r="K37" i="1" s="1" a="1"/>
  <c r="K37" i="1" s="1"/>
  <c r="L49" i="1" l="1"/>
  <c r="L46" i="1"/>
  <c r="L47" i="1" s="1"/>
  <c r="L4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<sst xmlns="http://schemas.openxmlformats.org/spreadsheetml/2006/main" count="67" uniqueCount="62">
  <si>
    <t>Data:</t>
  </si>
  <si>
    <t>Grup pràctiques:</t>
  </si>
  <si>
    <t>Parella:</t>
  </si>
  <si>
    <t>Alumnes:</t>
  </si>
  <si>
    <t>Descripció de la mostra</t>
  </si>
  <si>
    <t>ppm</t>
  </si>
  <si>
    <t>Instrumentació</t>
  </si>
  <si>
    <t>ml enràs</t>
  </si>
  <si>
    <t>Factor dilució</t>
  </si>
  <si>
    <t>conc.mostra</t>
  </si>
  <si>
    <t>Int.confiança</t>
  </si>
  <si>
    <t>Mostra</t>
  </si>
  <si>
    <t>Corba Calibrat:</t>
  </si>
  <si>
    <t>pendent</t>
  </si>
  <si>
    <t>ord.origen</t>
  </si>
  <si>
    <t>n</t>
  </si>
  <si>
    <t>Comentaris:</t>
  </si>
  <si>
    <t>Sy/x</t>
  </si>
  <si>
    <t>Informe pràctica B</t>
  </si>
  <si>
    <r>
      <t>Estoc 1000 ppm K</t>
    </r>
    <r>
      <rPr>
        <b/>
        <vertAlign val="superscript"/>
        <sz val="12"/>
        <color theme="1"/>
        <rFont val="Arial"/>
        <family val="2"/>
      </rPr>
      <t>+</t>
    </r>
  </si>
  <si>
    <t>Pes KCl</t>
  </si>
  <si>
    <t>Preparació Patrons i mesures Emissió Atòmica</t>
  </si>
  <si>
    <t>senyal AES</t>
  </si>
  <si>
    <t>Senyal AES</t>
  </si>
  <si>
    <t>Estoc LiCl</t>
  </si>
  <si>
    <t>ml estoc LiCl</t>
  </si>
  <si>
    <t>Pes LiCl (g)</t>
  </si>
  <si>
    <t>g</t>
  </si>
  <si>
    <t>conc. dissol. treball</t>
  </si>
  <si>
    <t>ml dissol. treball afegits</t>
  </si>
  <si>
    <t>conc. dissol. Estoc</t>
  </si>
  <si>
    <t>7. Comentaris addicionals..... (només si vols destacar alguna cosa)</t>
  </si>
  <si>
    <r>
      <t>ml estoc K</t>
    </r>
    <r>
      <rPr>
        <vertAlign val="superscript"/>
        <sz val="11"/>
        <color theme="1"/>
        <rFont val="Arial"/>
        <family val="2"/>
      </rPr>
      <t>+</t>
    </r>
  </si>
  <si>
    <r>
      <t>conc. real estoc K</t>
    </r>
    <r>
      <rPr>
        <vertAlign val="superscript"/>
        <sz val="11"/>
        <color theme="1"/>
        <rFont val="Arial"/>
        <family val="2"/>
      </rPr>
      <t>+</t>
    </r>
  </si>
  <si>
    <r>
      <t>75 mg/L de Li</t>
    </r>
    <r>
      <rPr>
        <b/>
        <vertAlign val="superscript"/>
        <sz val="11"/>
        <color theme="1"/>
        <rFont val="Arial"/>
        <family val="2"/>
      </rPr>
      <t>+</t>
    </r>
    <r>
      <rPr>
        <b/>
        <sz val="11"/>
        <color theme="1"/>
        <rFont val="Arial"/>
        <family val="2"/>
      </rPr>
      <t xml:space="preserve"> en patrons i mostres:</t>
    </r>
  </si>
  <si>
    <r>
      <t>Patró (ppm K</t>
    </r>
    <r>
      <rPr>
        <vertAlign val="superscript"/>
        <sz val="11"/>
        <color theme="1"/>
        <rFont val="Arial"/>
        <family val="2"/>
      </rPr>
      <t>+</t>
    </r>
    <r>
      <rPr>
        <sz val="11"/>
        <color theme="1"/>
        <rFont val="Arial"/>
        <family val="2"/>
      </rPr>
      <t>)</t>
    </r>
  </si>
  <si>
    <r>
      <t>contingut K</t>
    </r>
    <r>
      <rPr>
        <b/>
        <vertAlign val="superscript"/>
        <sz val="11"/>
        <color theme="1"/>
        <rFont val="Arial"/>
        <family val="2"/>
      </rPr>
      <t>+</t>
    </r>
    <r>
      <rPr>
        <b/>
        <sz val="11"/>
        <color theme="1"/>
        <rFont val="Arial"/>
        <family val="2"/>
      </rPr>
      <t xml:space="preserve"> en mostre d'aigüa</t>
    </r>
  </si>
  <si>
    <t xml:space="preserve">GRUP 2.1 (G3) tarda - 2on torn </t>
  </si>
  <si>
    <t>Sergio Castañeiras Morales i Domènec Huerta Estradé</t>
  </si>
  <si>
    <t>T_18</t>
  </si>
  <si>
    <t>mL</t>
  </si>
  <si>
    <t>Mesurat amb matràs aforat (250,0 ± 0,3)</t>
  </si>
  <si>
    <t>S'ha preparat una dissolució el doble de concentrada de manera que a l'hora de preparar els patrons</t>
  </si>
  <si>
    <t>només s'havia d'omplir la meitat amb la solució de LiCl.</t>
  </si>
  <si>
    <r>
      <t>[K</t>
    </r>
    <r>
      <rPr>
        <vertAlign val="superscript"/>
        <sz val="11"/>
        <color theme="1"/>
        <rFont val="Arial"/>
        <family val="2"/>
      </rPr>
      <t>+</t>
    </r>
    <r>
      <rPr>
        <sz val="11"/>
        <color theme="1"/>
        <rFont val="Arial"/>
        <family val="2"/>
      </rPr>
      <t>] (ppm)</t>
    </r>
  </si>
  <si>
    <t>y_{avg}</t>
  </si>
  <si>
    <t>S_{xx}</t>
  </si>
  <si>
    <t>R^2</t>
  </si>
  <si>
    <t>S_{y/x}</t>
  </si>
  <si>
    <r>
      <t xml:space="preserve">S_0 </t>
    </r>
    <r>
      <rPr>
        <sz val="11"/>
        <color theme="1"/>
        <rFont val="Arial"/>
        <family val="2"/>
      </rPr>
      <t>amb LiCl</t>
    </r>
  </si>
  <si>
    <t>F</t>
  </si>
  <si>
    <t>dof</t>
  </si>
  <si>
    <r>
      <t>S_0</t>
    </r>
    <r>
      <rPr>
        <sz val="11"/>
        <color theme="1"/>
        <rFont val="Arial"/>
        <family val="2"/>
      </rPr>
      <t xml:space="preserve"> sense LiCl</t>
    </r>
  </si>
  <si>
    <t>Ssreg</t>
  </si>
  <si>
    <t>Ssresid</t>
  </si>
  <si>
    <t>t_{tab}</t>
  </si>
  <si>
    <t>Emissions = m * [K+] + n</t>
  </si>
  <si>
    <t>m</t>
  </si>
  <si>
    <t>u_m</t>
  </si>
  <si>
    <t>u_ n</t>
  </si>
  <si>
    <t>( ± )</t>
  </si>
  <si>
    <r>
      <t>( ± ) ppm</t>
    </r>
    <r>
      <rPr>
        <vertAlign val="superscript"/>
        <sz val="11"/>
        <color theme="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</si>
</sst>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12"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4"/>
      <color theme="1"/>
      <name val="Arial"/>
      <family val="2"/>
    </font>
    <font>
      <sz val="12"/>
      <color theme="1"/>
      <name val="Arial"/>
      <family val="2"/>
    </font>
    <font>
      <b/>
      <vertAlign val="superscript"/>
      <sz val="12"/>
      <color theme="1"/>
      <name val="Arial"/>
      <family val="2"/>
    </font>
    <font>
      <vertAlign val="superscript"/>
      <sz val="11"/>
      <color theme="1"/>
      <name val="Arial"/>
      <family val="2"/>
    </font>
    <font>
      <b/>
      <vertAlign val="superscript"/>
      <sz val="11"/>
      <color theme="1"/>
      <name val="Arial"/>
      <family val="2"/>
    </font>
    <font>
      <sz val="12"/>
      <color rgb="FF000000"/>
      <name val="Arial"/>
      <family val="2"/>
    </font>
    <font>
      <b/>
      <sz val="11"/>
      <name val="Arial"/>
      <family val="2"/>
    </font>
    <font>
      <sz val="11"/>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2">
    <xf numFmtId="0" fontId="0" fillId="0" borderId="0" xfId="0"/>
    <xf numFmtId="0" fontId="1" fillId="0" borderId="1" xfId="0" applyFont="1" applyBorder="1" applyAlignment="1">
      <alignment vertical="center"/>
    </xf>
    <xf numFmtId="0" fontId="1" fillId="0" borderId="0" xfId="0" applyFont="1" applyAlignment="1">
      <alignment vertical="center"/>
    </xf>
    <xf numFmtId="0" fontId="4"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vertical="center"/>
    </xf>
    <xf numFmtId="0" fontId="2" fillId="0" borderId="3" xfId="0" applyFont="1" applyBorder="1" applyAlignment="1">
      <alignment vertical="center"/>
    </xf>
    <xf numFmtId="0" fontId="1" fillId="0" borderId="11" xfId="0" applyFont="1" applyBorder="1" applyAlignment="1">
      <alignment vertical="center"/>
    </xf>
    <xf numFmtId="0" fontId="1" fillId="0" borderId="6"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1" fillId="0" borderId="12" xfId="0" applyFont="1" applyBorder="1" applyAlignment="1">
      <alignment vertical="center"/>
    </xf>
    <xf numFmtId="0" fontId="2" fillId="0" borderId="2" xfId="0" applyFont="1" applyBorder="1" applyAlignment="1">
      <alignment vertical="center"/>
    </xf>
    <xf numFmtId="0" fontId="2" fillId="0" borderId="0" xfId="0" applyFont="1"/>
    <xf numFmtId="0" fontId="1" fillId="0" borderId="0" xfId="0" applyFont="1" applyAlignment="1">
      <alignment horizontal="center" vertical="center"/>
    </xf>
    <xf numFmtId="0" fontId="1" fillId="0" borderId="1" xfId="0" applyFont="1" applyBorder="1" applyAlignment="1">
      <alignment horizontal="center" vertical="center"/>
    </xf>
    <xf numFmtId="0" fontId="9" fillId="0" borderId="0" xfId="0" applyFont="1"/>
    <xf numFmtId="14" fontId="1" fillId="0" borderId="0" xfId="0" applyNumberFormat="1" applyFont="1" applyAlignment="1">
      <alignment vertical="center"/>
    </xf>
    <xf numFmtId="164"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2" fontId="1" fillId="0" borderId="1" xfId="0" applyNumberFormat="1" applyFont="1" applyBorder="1" applyAlignment="1">
      <alignment vertical="center"/>
    </xf>
    <xf numFmtId="164" fontId="1" fillId="0" borderId="1" xfId="0" applyNumberFormat="1" applyFont="1" applyBorder="1" applyAlignment="1">
      <alignment vertical="center"/>
    </xf>
    <xf numFmtId="2"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11" xfId="0" applyFont="1" applyBorder="1" applyAlignment="1">
      <alignment horizontal="center" vertical="center"/>
    </xf>
    <xf numFmtId="0" fontId="10" fillId="0" borderId="1" xfId="0" applyFont="1" applyFill="1" applyBorder="1" applyAlignment="1">
      <alignment horizontal="center"/>
    </xf>
    <xf numFmtId="0" fontId="11" fillId="0" borderId="1" xfId="0" applyFont="1" applyFill="1" applyBorder="1" applyAlignment="1">
      <alignment horizontal="right" vertical="center"/>
    </xf>
    <xf numFmtId="2" fontId="11" fillId="0" borderId="1" xfId="0" applyNumberFormat="1" applyFont="1" applyFill="1" applyBorder="1" applyAlignment="1">
      <alignment vertical="center"/>
    </xf>
    <xf numFmtId="0" fontId="11" fillId="0" borderId="1" xfId="0" applyFont="1" applyFill="1" applyBorder="1" applyAlignment="1">
      <alignment vertical="center"/>
    </xf>
    <xf numFmtId="166" fontId="10" fillId="0" borderId="1" xfId="0" applyNumberFormat="1" applyFont="1" applyFill="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vertical="center"/>
    </xf>
    <xf numFmtId="0" fontId="2" fillId="0" borderId="1" xfId="0" applyFont="1" applyBorder="1" applyAlignment="1">
      <alignment vertical="center"/>
    </xf>
    <xf numFmtId="166" fontId="1" fillId="0" borderId="1" xfId="0" applyNumberFormat="1" applyFont="1" applyBorder="1" applyAlignment="1">
      <alignment vertical="center"/>
    </xf>
    <xf numFmtId="1" fontId="1"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Calibratge amb patró extern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020126558685402E-2"/>
          <c:y val="0.14161893852615504"/>
          <c:w val="0.86670715200180881"/>
          <c:h val="0.68883807908891115"/>
        </c:manualLayout>
      </c:layout>
      <c:scatterChart>
        <c:scatterStyle val="lineMarker"/>
        <c:varyColors val="0"/>
        <c:ser>
          <c:idx val="0"/>
          <c:order val="0"/>
          <c:tx>
            <c:v>Calibratge amb patró extern</c:v>
          </c:tx>
          <c:spPr>
            <a:ln w="25400" cap="rnd">
              <a:noFill/>
              <a:round/>
            </a:ln>
            <a:effectLst/>
          </c:spPr>
          <c:marker>
            <c:symbol val="circle"/>
            <c:size val="5"/>
            <c:spPr>
              <a:solidFill>
                <a:schemeClr val="accent1"/>
              </a:solidFill>
              <a:ln w="9525">
                <a:solidFill>
                  <a:schemeClr val="accent1"/>
                </a:solidFill>
              </a:ln>
              <a:effectLst/>
            </c:spPr>
          </c:marker>
          <c:xVal>
            <c:numRef>
              <c:f>'Pràctica A'!$D$37:$D$41</c:f>
              <c:numCache>
                <c:formatCode>0.0</c:formatCode>
                <c:ptCount val="5"/>
                <c:pt idx="0">
                  <c:v>0</c:v>
                </c:pt>
                <c:pt idx="1">
                  <c:v>0</c:v>
                </c:pt>
                <c:pt idx="2">
                  <c:v>0</c:v>
                </c:pt>
                <c:pt idx="3">
                  <c:v>0</c:v>
                </c:pt>
                <c:pt idx="4">
                  <c:v>0</c:v>
                </c:pt>
              </c:numCache>
            </c:numRef>
          </c:xVal>
          <c:yVal>
            <c:numRef>
              <c:f>'Pràctica A'!$E$37:$E$41</c:f>
              <c:numCache>
                <c:formatCode>General</c:formatCode>
                <c:ptCount val="5"/>
              </c:numCache>
            </c:numRef>
          </c:yVal>
          <c:smooth val="0"/>
          <c:extLst>
            <c:ext xmlns:c16="http://schemas.microsoft.com/office/drawing/2014/chart" uri="{C3380CC4-5D6E-409C-BE32-E72D297353CC}">
              <c16:uniqueId val="{00000003-CAFB-F74C-92CF-596895EC7662}"/>
            </c:ext>
          </c:extLst>
        </c:ser>
        <c:dLbls>
          <c:showLegendKey val="0"/>
          <c:showVal val="0"/>
          <c:showCatName val="0"/>
          <c:showSerName val="0"/>
          <c:showPercent val="0"/>
          <c:showBubbleSize val="0"/>
        </c:dLbls>
        <c:axId val="197386047"/>
        <c:axId val="197385567"/>
      </c:scatterChart>
      <c:valAx>
        <c:axId val="19738604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30000">
                    <a:solidFill>
                      <a:schemeClr val="tx1">
                        <a:lumMod val="65000"/>
                        <a:lumOff val="35000"/>
                      </a:schemeClr>
                    </a:solidFill>
                    <a:latin typeface="+mn-lt"/>
                    <a:ea typeface="+mn-ea"/>
                    <a:cs typeface="+mn-cs"/>
                  </a:defRPr>
                </a:pPr>
                <a:r>
                  <a:rPr lang="en-US" sz="1400" b="1" baseline="30000"/>
                  <a:t>[K+] (ppm)</a:t>
                </a:r>
              </a:p>
            </c:rich>
          </c:tx>
          <c:overlay val="0"/>
          <c:spPr>
            <a:noFill/>
            <a:ln>
              <a:noFill/>
            </a:ln>
            <a:effectLst/>
          </c:spPr>
          <c:txPr>
            <a:bodyPr rot="0" spcFirstLastPara="1" vertOverflow="ellipsis" vert="horz" wrap="square" anchor="ctr" anchorCtr="1"/>
            <a:lstStyle/>
            <a:p>
              <a:pPr>
                <a:defRPr sz="1000" b="1" i="0" u="none" strike="noStrike" kern="1200" baseline="30000">
                  <a:solidFill>
                    <a:schemeClr val="tx1">
                      <a:lumMod val="65000"/>
                      <a:lumOff val="35000"/>
                    </a:schemeClr>
                  </a:solidFill>
                  <a:latin typeface="+mn-lt"/>
                  <a:ea typeface="+mn-ea"/>
                  <a:cs typeface="+mn-cs"/>
                </a:defRPr>
              </a:pPr>
              <a:endParaRPr lang="es-E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7385567"/>
        <c:crosses val="autoZero"/>
        <c:crossBetween val="midCat"/>
      </c:valAx>
      <c:valAx>
        <c:axId val="19738556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Senyal</a:t>
                </a:r>
                <a:r>
                  <a:rPr lang="en-US" b="1" baseline="0"/>
                  <a:t> AES</a:t>
                </a:r>
              </a:p>
              <a:p>
                <a:pPr>
                  <a:defRPr b="1"/>
                </a:pPr>
                <a:endParaRPr lang="en-US" b="1" baseline="0"/>
              </a:p>
              <a:p>
                <a:pPr>
                  <a:defRPr b="1"/>
                </a:pP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73860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16933</xdr:colOff>
      <xdr:row>4</xdr:row>
      <xdr:rowOff>194733</xdr:rowOff>
    </xdr:from>
    <xdr:to>
      <xdr:col>2</xdr:col>
      <xdr:colOff>232833</xdr:colOff>
      <xdr:row>7</xdr:row>
      <xdr:rowOff>728134</xdr:rowOff>
    </xdr:to>
    <xdr:sp macro="" textlink="">
      <xdr:nvSpPr>
        <xdr:cNvPr id="2" name="TextBox 1">
          <a:extLst>
            <a:ext uri="{FF2B5EF4-FFF2-40B4-BE49-F238E27FC236}">
              <a16:creationId xmlns:a16="http://schemas.microsoft.com/office/drawing/2014/main" id="{48B539A4-556E-1830-14D2-78498208B160}"/>
            </a:ext>
          </a:extLst>
        </xdr:cNvPr>
        <xdr:cNvSpPr txBox="1"/>
      </xdr:nvSpPr>
      <xdr:spPr>
        <a:xfrm>
          <a:off x="16933" y="1049866"/>
          <a:ext cx="3272367" cy="111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La mostra es tracta d'aigua de la font ubicada</a:t>
          </a:r>
          <a:r>
            <a:rPr lang="en-GB" sz="1100" baseline="0"/>
            <a:t> en la primera planta de la torre C7 parell de la facultat de ciències de la Universitat Autònoma de Barcelona el dia 13 maig de 2026 a les 15:40 h</a:t>
          </a:r>
          <a:endParaRPr lang="en-GB" sz="1100"/>
        </a:p>
      </xdr:txBody>
    </xdr:sp>
    <xdr:clientData/>
  </xdr:twoCellAnchor>
  <xdr:twoCellAnchor>
    <xdr:from>
      <xdr:col>0</xdr:col>
      <xdr:colOff>67733</xdr:colOff>
      <xdr:row>9</xdr:row>
      <xdr:rowOff>25400</xdr:rowOff>
    </xdr:from>
    <xdr:to>
      <xdr:col>4</xdr:col>
      <xdr:colOff>1016000</xdr:colOff>
      <xdr:row>15</xdr:row>
      <xdr:rowOff>0</xdr:rowOff>
    </xdr:to>
    <xdr:sp macro="" textlink="">
      <xdr:nvSpPr>
        <xdr:cNvPr id="3" name="TextBox 2">
          <a:extLst>
            <a:ext uri="{FF2B5EF4-FFF2-40B4-BE49-F238E27FC236}">
              <a16:creationId xmlns:a16="http://schemas.microsoft.com/office/drawing/2014/main" id="{1A1ABE25-7BDD-DBD7-0852-DE8ED7FFE7B5}"/>
            </a:ext>
          </a:extLst>
        </xdr:cNvPr>
        <xdr:cNvSpPr txBox="1"/>
      </xdr:nvSpPr>
      <xdr:spPr>
        <a:xfrm>
          <a:off x="67733" y="2497667"/>
          <a:ext cx="6155267"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b="0"/>
            <a:t>Per a la detecció de la concentració de</a:t>
          </a:r>
          <a:r>
            <a:rPr lang="en-GB" b="0" baseline="0"/>
            <a:t> l'ió postassi</a:t>
          </a:r>
          <a:r>
            <a:rPr lang="en-GB" b="0"/>
            <a:t> en una mostra d’aigua</a:t>
          </a:r>
          <a:r>
            <a:rPr lang="en-GB" b="0" baseline="0"/>
            <a:t> potable</a:t>
          </a:r>
          <a:r>
            <a:rPr lang="en-GB" b="0"/>
            <a:t>, fem servir el model 55 AA de la marca Agilent, que permet quantificar la mostra mitjançant espectroscòpia d’emissió atòmica atòmica.</a:t>
          </a:r>
        </a:p>
        <a:p>
          <a:pPr algn="ctr"/>
          <a:br>
            <a:rPr lang="en-GB" b="0"/>
          </a:br>
          <a:r>
            <a:rPr lang="en-GB" b="0"/>
            <a:t>Donat</a:t>
          </a:r>
          <a:r>
            <a:rPr lang="en-GB" b="0" baseline="0"/>
            <a:t> que fem servir l'aparell en mode d'emissió no es fa ús de cap làmpada, si més no és clau ajustar el detector en el rang del potassi amb el patró més concentrat.</a:t>
          </a:r>
          <a:br>
            <a:rPr lang="en-GB" b="0"/>
          </a:br>
          <a:endParaRPr lang="en-GB" b="0"/>
        </a:p>
        <a:p>
          <a:pPr algn="ctr"/>
          <a:r>
            <a:rPr lang="en-GB" b="0"/>
            <a:t>Després de realitzar un calibratge amb solucions patró de concentració coneguda de potassi, i mitjançant la llei de Lambert-Beer, podem quantificar la concentració de coure a partir d’una recta de regressió.</a:t>
          </a:r>
        </a:p>
        <a:p>
          <a:pPr algn="ctr"/>
          <a:br>
            <a:rPr lang="en-GB" b="0"/>
          </a:br>
          <a:endParaRPr lang="en-GB" b="0"/>
        </a:p>
        <a:p>
          <a:pPr algn="ctr"/>
          <a:r>
            <a:rPr lang="en-GB" b="0"/>
            <a:t>Nota: És essencial mantenir l’equip net i lliure de residus, ja que, en tractar-se d’una tècnica de quantificació atòmica, la presència d’interferències pot provocar desviacions significatives en els resultats.</a:t>
          </a:r>
        </a:p>
      </xdr:txBody>
    </xdr:sp>
    <xdr:clientData/>
  </xdr:twoCellAnchor>
  <xdr:twoCellAnchor>
    <xdr:from>
      <xdr:col>0</xdr:col>
      <xdr:colOff>53341</xdr:colOff>
      <xdr:row>46</xdr:row>
      <xdr:rowOff>22860</xdr:rowOff>
    </xdr:from>
    <xdr:to>
      <xdr:col>5</xdr:col>
      <xdr:colOff>716281</xdr:colOff>
      <xdr:row>57</xdr:row>
      <xdr:rowOff>198120</xdr:rowOff>
    </xdr:to>
    <xdr:graphicFrame macro="">
      <xdr:nvGraphicFramePr>
        <xdr:cNvPr id="4" name="Chart 1">
          <a:extLst>
            <a:ext uri="{FF2B5EF4-FFF2-40B4-BE49-F238E27FC236}">
              <a16:creationId xmlns:a16="http://schemas.microsoft.com/office/drawing/2014/main" id="{DC4E4686-D601-2A48-B656-46C5B349E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8467</xdr:colOff>
      <xdr:row>58</xdr:row>
      <xdr:rowOff>16933</xdr:rowOff>
    </xdr:from>
    <xdr:to>
      <xdr:col>5</xdr:col>
      <xdr:colOff>855134</xdr:colOff>
      <xdr:row>60</xdr:row>
      <xdr:rowOff>279400</xdr:rowOff>
    </xdr:to>
    <xdr:sp macro="" textlink="">
      <xdr:nvSpPr>
        <xdr:cNvPr id="7" name="TextBox 6">
          <a:extLst>
            <a:ext uri="{FF2B5EF4-FFF2-40B4-BE49-F238E27FC236}">
              <a16:creationId xmlns:a16="http://schemas.microsoft.com/office/drawing/2014/main" id="{47BAECD8-B0FD-29D5-C824-32C6BF77A2FA}"/>
            </a:ext>
          </a:extLst>
        </xdr:cNvPr>
        <xdr:cNvSpPr txBox="1"/>
      </xdr:nvSpPr>
      <xdr:spPr>
        <a:xfrm>
          <a:off x="1981200" y="18415000"/>
          <a:ext cx="5139267" cy="855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Comento comentant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ergio/Desktop/University/5nto/LACE/LACE/Gerard%20i%20O&#768;scar/PB_GerardMoreno_O&#768;scarLosada_M1.xlsx" TargetMode="External"/><Relationship Id="rId1" Type="http://schemas.openxmlformats.org/officeDocument/2006/relationships/externalLinkPath" Target="/Users/sergio/Desktop/University/5nto/LACE/LACE/Gerard%20i%20O&#768;scar/PB_GerardMoreno_O&#768;scarLosada_M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àctica A"/>
      <sheetName val="Càlculs"/>
    </sheetNames>
    <sheetDataSet>
      <sheetData sheetId="0">
        <row r="37">
          <cell r="D37">
            <v>0.50256871244635193</v>
          </cell>
          <cell r="E37">
            <v>0.20019999999999999</v>
          </cell>
        </row>
        <row r="38">
          <cell r="D38">
            <v>1.5077061373390557</v>
          </cell>
          <cell r="E38">
            <v>0.43209999999999998</v>
          </cell>
        </row>
        <row r="39">
          <cell r="D39">
            <v>2.0102748497854077</v>
          </cell>
          <cell r="E39">
            <v>0.53569999999999995</v>
          </cell>
        </row>
        <row r="40">
          <cell r="D40">
            <v>3.0154122746781113</v>
          </cell>
          <cell r="E40">
            <v>0.67479999999999996</v>
          </cell>
        </row>
        <row r="41">
          <cell r="D41">
            <v>4.0205496995708154</v>
          </cell>
          <cell r="E41">
            <v>0.82779999999999998</v>
          </cell>
        </row>
      </sheetData>
      <sheetData sheetId="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08C8-5267-41A1-8A30-44F36ECBD8D8}">
  <dimension ref="A1:M70"/>
  <sheetViews>
    <sheetView showGridLines="0" tabSelected="1" zoomScale="150" zoomScaleNormal="100" workbookViewId="0">
      <selection activeCell="F6" sqref="F6"/>
    </sheetView>
  </sheetViews>
  <sheetFormatPr baseColWidth="10" defaultColWidth="11.5" defaultRowHeight="23.25" customHeight="1" x14ac:dyDescent="0.2"/>
  <cols>
    <col min="1" max="1" width="25.83203125" style="2" customWidth="1"/>
    <col min="2" max="2" width="14.1640625" style="2" customWidth="1"/>
    <col min="3" max="3" width="12.6640625" style="2" customWidth="1"/>
    <col min="4" max="4" width="15.5" style="2" bestFit="1" customWidth="1"/>
    <col min="5" max="5" width="13.83203125" style="2" customWidth="1"/>
    <col min="6" max="6" width="11.5" style="2" customWidth="1"/>
    <col min="7" max="16384" width="11.5" style="2"/>
  </cols>
  <sheetData>
    <row r="1" spans="1:6" ht="21" customHeight="1" x14ac:dyDescent="0.2">
      <c r="A1" s="3" t="s">
        <v>18</v>
      </c>
      <c r="E1" s="4" t="s">
        <v>0</v>
      </c>
      <c r="F1" s="24">
        <v>45790</v>
      </c>
    </row>
    <row r="2" spans="1:6" s="5" customFormat="1" ht="15" customHeight="1" x14ac:dyDescent="0.2">
      <c r="A2" s="4" t="s">
        <v>1</v>
      </c>
      <c r="B2" s="23" t="s">
        <v>37</v>
      </c>
      <c r="E2" s="4" t="s">
        <v>2</v>
      </c>
      <c r="F2" s="5" t="s">
        <v>39</v>
      </c>
    </row>
    <row r="3" spans="1:6" s="5" customFormat="1" ht="15" customHeight="1" x14ac:dyDescent="0.2">
      <c r="A3" s="4" t="s">
        <v>3</v>
      </c>
      <c r="B3" s="5" t="s">
        <v>38</v>
      </c>
    </row>
    <row r="4" spans="1:6" s="5" customFormat="1" ht="15" customHeight="1" x14ac:dyDescent="0.2">
      <c r="A4" s="4"/>
    </row>
    <row r="5" spans="1:6" s="5" customFormat="1" ht="15" customHeight="1" x14ac:dyDescent="0.2">
      <c r="A5" s="4" t="s">
        <v>4</v>
      </c>
    </row>
    <row r="6" spans="1:6" ht="15" customHeight="1" x14ac:dyDescent="0.2">
      <c r="A6" s="6"/>
    </row>
    <row r="7" spans="1:6" ht="15" customHeight="1" x14ac:dyDescent="0.2">
      <c r="A7" s="6"/>
    </row>
    <row r="8" spans="1:6" ht="58" customHeight="1" x14ac:dyDescent="0.2">
      <c r="A8" s="6"/>
    </row>
    <row r="9" spans="1:6" ht="23.25" customHeight="1" x14ac:dyDescent="0.2">
      <c r="A9" s="4" t="s">
        <v>6</v>
      </c>
    </row>
    <row r="15" spans="1:6" ht="134" customHeight="1" x14ac:dyDescent="0.2"/>
    <row r="17" spans="1:5" ht="23.25" customHeight="1" x14ac:dyDescent="0.2">
      <c r="A17" s="4" t="s">
        <v>19</v>
      </c>
    </row>
    <row r="19" spans="1:5" ht="23.25" customHeight="1" x14ac:dyDescent="0.2">
      <c r="A19" s="1" t="s">
        <v>20</v>
      </c>
      <c r="B19" s="7"/>
      <c r="C19" s="1" t="s">
        <v>27</v>
      </c>
    </row>
    <row r="20" spans="1:5" ht="23.25" customHeight="1" x14ac:dyDescent="0.2">
      <c r="A20" s="1" t="s">
        <v>32</v>
      </c>
      <c r="B20" s="25"/>
    </row>
    <row r="21" spans="1:5" ht="23.25" customHeight="1" x14ac:dyDescent="0.2">
      <c r="A21" s="1" t="s">
        <v>33</v>
      </c>
      <c r="B21" s="26" t="e">
        <f>B19*(39.098/74.56)*10^3/(B20*10^(-3))</f>
        <v>#DIV/0!</v>
      </c>
      <c r="C21" s="1" t="s">
        <v>5</v>
      </c>
    </row>
    <row r="24" spans="1:5" ht="23.25" customHeight="1" x14ac:dyDescent="0.2">
      <c r="A24" s="4" t="s">
        <v>24</v>
      </c>
    </row>
    <row r="26" spans="1:5" ht="23.25" customHeight="1" x14ac:dyDescent="0.2">
      <c r="A26" s="1" t="s">
        <v>26</v>
      </c>
      <c r="B26" s="27"/>
    </row>
    <row r="27" spans="1:5" ht="23.25" customHeight="1" x14ac:dyDescent="0.2">
      <c r="A27" s="1" t="s">
        <v>25</v>
      </c>
      <c r="B27" s="25"/>
      <c r="C27" s="1" t="s">
        <v>40</v>
      </c>
      <c r="E27" s="2" t="s">
        <v>41</v>
      </c>
    </row>
    <row r="28" spans="1:5" ht="23.25" customHeight="1" x14ac:dyDescent="0.2">
      <c r="A28" s="1" t="s">
        <v>30</v>
      </c>
      <c r="B28" s="25" t="e">
        <f>B26*(6.939/42.39)*10^3/(B27*10^(-3))</f>
        <v>#DIV/0!</v>
      </c>
      <c r="C28" s="1" t="s">
        <v>5</v>
      </c>
    </row>
    <row r="30" spans="1:5" ht="23.25" customHeight="1" x14ac:dyDescent="0.2">
      <c r="A30" s="6" t="s">
        <v>34</v>
      </c>
    </row>
    <row r="31" spans="1:5" ht="23.25" customHeight="1" x14ac:dyDescent="0.2">
      <c r="A31" s="1" t="s">
        <v>28</v>
      </c>
      <c r="B31" s="28" t="e">
        <f>B28/2</f>
        <v>#DIV/0!</v>
      </c>
      <c r="C31" s="1" t="s">
        <v>5</v>
      </c>
      <c r="E31" s="2" t="s">
        <v>42</v>
      </c>
    </row>
    <row r="32" spans="1:5" ht="23.25" customHeight="1" x14ac:dyDescent="0.2">
      <c r="A32" s="1" t="s">
        <v>29</v>
      </c>
      <c r="B32" s="29">
        <f>25/2</f>
        <v>12.5</v>
      </c>
      <c r="C32" s="1" t="s">
        <v>40</v>
      </c>
      <c r="E32" s="2" t="s">
        <v>43</v>
      </c>
    </row>
    <row r="34" spans="1:13" ht="23.25" customHeight="1" x14ac:dyDescent="0.2">
      <c r="A34" s="4" t="s">
        <v>21</v>
      </c>
    </row>
    <row r="36" spans="1:13" ht="23.25" customHeight="1" x14ac:dyDescent="0.15">
      <c r="A36" s="1" t="s">
        <v>35</v>
      </c>
      <c r="B36" s="7" t="s">
        <v>32</v>
      </c>
      <c r="C36" s="7" t="s">
        <v>7</v>
      </c>
      <c r="D36" s="7" t="s">
        <v>44</v>
      </c>
      <c r="E36" s="7" t="s">
        <v>22</v>
      </c>
      <c r="J36" s="33" t="s">
        <v>56</v>
      </c>
      <c r="K36" s="33"/>
      <c r="L36" s="33"/>
      <c r="M36" s="33"/>
    </row>
    <row r="37" spans="1:13" ht="23.25" customHeight="1" x14ac:dyDescent="0.2">
      <c r="A37" s="30" t="e">
        <f>$B$21/10/10</f>
        <v>#DIV/0!</v>
      </c>
      <c r="B37" s="25"/>
      <c r="C37" s="25"/>
      <c r="D37" s="25" t="e">
        <f>A37*B37/C37</f>
        <v>#DIV/0!</v>
      </c>
      <c r="E37" s="7"/>
      <c r="J37" s="34" t="s">
        <v>57</v>
      </c>
      <c r="K37" s="35" t="e" cm="1">
        <f t="array" ref="K37">LINEST(E37:E41,D37:D41,1,1)</f>
        <v>#VALUE!</v>
      </c>
      <c r="L37" s="35"/>
      <c r="M37" s="36" t="s">
        <v>15</v>
      </c>
    </row>
    <row r="38" spans="1:13" ht="23.25" customHeight="1" x14ac:dyDescent="0.2">
      <c r="A38" s="30" t="e">
        <f>$B$21/10/10</f>
        <v>#DIV/0!</v>
      </c>
      <c r="B38" s="25"/>
      <c r="C38" s="25"/>
      <c r="D38" s="25" t="e">
        <f>A38*B38/C38</f>
        <v>#DIV/0!</v>
      </c>
      <c r="E38" s="7"/>
      <c r="J38" s="34" t="s">
        <v>58</v>
      </c>
      <c r="K38" s="35"/>
      <c r="L38" s="35"/>
      <c r="M38" s="36" t="s">
        <v>59</v>
      </c>
    </row>
    <row r="39" spans="1:13" ht="23.25" customHeight="1" x14ac:dyDescent="0.2">
      <c r="A39" s="30" t="e">
        <f>$B$21/10/10</f>
        <v>#DIV/0!</v>
      </c>
      <c r="B39" s="25"/>
      <c r="C39" s="25"/>
      <c r="D39" s="25" t="e">
        <f>A39*B39/C39</f>
        <v>#DIV/0!</v>
      </c>
      <c r="E39" s="7"/>
      <c r="J39" s="34" t="s">
        <v>47</v>
      </c>
      <c r="K39" s="37"/>
      <c r="L39" s="35"/>
      <c r="M39" s="36" t="s">
        <v>48</v>
      </c>
    </row>
    <row r="40" spans="1:13" ht="23.25" customHeight="1" x14ac:dyDescent="0.2">
      <c r="A40" s="30" t="e">
        <f>$B$21/10/10</f>
        <v>#DIV/0!</v>
      </c>
      <c r="B40" s="25"/>
      <c r="C40" s="25"/>
      <c r="D40" s="25" t="e">
        <f>A40*B40/C40</f>
        <v>#DIV/0!</v>
      </c>
      <c r="E40" s="7"/>
      <c r="J40" s="34" t="s">
        <v>50</v>
      </c>
      <c r="K40" s="36"/>
      <c r="L40" s="36"/>
      <c r="M40" s="36" t="s">
        <v>51</v>
      </c>
    </row>
    <row r="41" spans="1:13" ht="23.25" customHeight="1" x14ac:dyDescent="0.2">
      <c r="A41" s="30" t="e">
        <f>$B$21/10/10</f>
        <v>#DIV/0!</v>
      </c>
      <c r="B41" s="25"/>
      <c r="C41" s="25"/>
      <c r="D41" s="25" t="e">
        <f>A41*B41/C41</f>
        <v>#DIV/0!</v>
      </c>
      <c r="E41" s="7"/>
      <c r="J41" s="34" t="s">
        <v>53</v>
      </c>
      <c r="K41" s="36"/>
      <c r="L41" s="36"/>
      <c r="M41" s="36" t="s">
        <v>54</v>
      </c>
    </row>
    <row r="42" spans="1:13" ht="23.25" customHeight="1" x14ac:dyDescent="0.2">
      <c r="A42" s="48"/>
      <c r="B42" s="47"/>
      <c r="C42" s="47"/>
      <c r="D42" s="47"/>
      <c r="E42" s="47"/>
    </row>
    <row r="45" spans="1:13" ht="23.25" customHeight="1" x14ac:dyDescent="0.2">
      <c r="A45" s="9" t="s">
        <v>12</v>
      </c>
      <c r="B45" s="1" t="s">
        <v>13</v>
      </c>
      <c r="C45" s="31" t="s">
        <v>61</v>
      </c>
      <c r="D45" s="32"/>
      <c r="E45" s="1" t="s">
        <v>17</v>
      </c>
      <c r="F45" s="30">
        <f>L39</f>
        <v>0</v>
      </c>
      <c r="K45" s="49" t="s">
        <v>45</v>
      </c>
      <c r="L45" s="50" t="e">
        <f>AVERAGE(E37:E41)</f>
        <v>#DIV/0!</v>
      </c>
    </row>
    <row r="46" spans="1:13" ht="23.25" customHeight="1" x14ac:dyDescent="0.2">
      <c r="A46" s="11"/>
      <c r="B46" s="1" t="s">
        <v>14</v>
      </c>
      <c r="C46" s="31" t="s">
        <v>60</v>
      </c>
      <c r="D46" s="32"/>
      <c r="E46" s="1" t="s">
        <v>15</v>
      </c>
      <c r="F46" s="26">
        <f>COUNT(D37:D41)</f>
        <v>0</v>
      </c>
      <c r="K46" s="49" t="s">
        <v>46</v>
      </c>
      <c r="L46" s="51" t="e">
        <f>VARPA(D37:D41)*F46</f>
        <v>#DIV/0!</v>
      </c>
    </row>
    <row r="47" spans="1:13" ht="23.25" customHeight="1" x14ac:dyDescent="0.2">
      <c r="A47" s="12"/>
      <c r="F47" s="13"/>
      <c r="K47" s="49" t="s">
        <v>49</v>
      </c>
      <c r="L47" s="29" t="e">
        <f>L39/K37*SQRT(1+1/F46+(C64-L45)^2/(K37^2*L46))</f>
        <v>#VALUE!</v>
      </c>
    </row>
    <row r="48" spans="1:13" ht="23.25" customHeight="1" x14ac:dyDescent="0.2">
      <c r="A48" s="12"/>
      <c r="F48" s="13"/>
      <c r="K48" s="49" t="s">
        <v>52</v>
      </c>
      <c r="L48" s="29" t="e">
        <f>L39/K37*SQRT(1+1/F46+(C67-L45)^2/(K37^2*L46))</f>
        <v>#VALUE!</v>
      </c>
    </row>
    <row r="49" spans="1:12" ht="23.25" customHeight="1" x14ac:dyDescent="0.2">
      <c r="A49" s="12"/>
      <c r="F49" s="13"/>
      <c r="K49" s="49" t="s">
        <v>55</v>
      </c>
      <c r="L49" s="50" t="e">
        <f>_xlfn.T.INV.2T(0.05,L40)</f>
        <v>#NUM!</v>
      </c>
    </row>
    <row r="50" spans="1:12" ht="23.25" customHeight="1" x14ac:dyDescent="0.2">
      <c r="A50" s="12"/>
      <c r="F50" s="13"/>
    </row>
    <row r="51" spans="1:12" ht="23.25" customHeight="1" x14ac:dyDescent="0.2">
      <c r="A51" s="12"/>
      <c r="F51" s="13"/>
    </row>
    <row r="52" spans="1:12" ht="23.25" customHeight="1" x14ac:dyDescent="0.2">
      <c r="A52" s="12"/>
      <c r="F52" s="13"/>
    </row>
    <row r="53" spans="1:12" ht="23.25" customHeight="1" x14ac:dyDescent="0.2">
      <c r="A53" s="12"/>
      <c r="F53" s="13"/>
    </row>
    <row r="54" spans="1:12" ht="23.25" customHeight="1" x14ac:dyDescent="0.2">
      <c r="A54" s="12"/>
      <c r="F54" s="13"/>
    </row>
    <row r="55" spans="1:12" ht="23.25" customHeight="1" x14ac:dyDescent="0.2">
      <c r="A55" s="12"/>
      <c r="F55" s="13"/>
    </row>
    <row r="56" spans="1:12" ht="23.25" customHeight="1" x14ac:dyDescent="0.2">
      <c r="A56" s="12"/>
      <c r="F56" s="13"/>
    </row>
    <row r="57" spans="1:12" ht="23.25" customHeight="1" x14ac:dyDescent="0.2">
      <c r="A57" s="12"/>
      <c r="F57" s="13"/>
    </row>
    <row r="58" spans="1:12" ht="23.25" customHeight="1" x14ac:dyDescent="0.2">
      <c r="A58" s="11"/>
      <c r="B58" s="14"/>
      <c r="C58" s="14"/>
      <c r="D58" s="14"/>
      <c r="E58" s="14"/>
      <c r="F58" s="15"/>
    </row>
    <row r="59" spans="1:12" ht="23.25" customHeight="1" x14ac:dyDescent="0.2">
      <c r="A59" s="39" t="s">
        <v>16</v>
      </c>
      <c r="B59" s="38"/>
      <c r="C59" s="39"/>
      <c r="D59" s="39"/>
      <c r="E59" s="39"/>
      <c r="F59" s="42"/>
    </row>
    <row r="60" spans="1:12" ht="23.25" customHeight="1" x14ac:dyDescent="0.2">
      <c r="A60" s="40"/>
      <c r="B60" s="43"/>
      <c r="C60" s="40"/>
      <c r="D60" s="40"/>
      <c r="E60" s="40"/>
      <c r="F60" s="44"/>
    </row>
    <row r="61" spans="1:12" ht="23.25" customHeight="1" x14ac:dyDescent="0.2">
      <c r="A61" s="41"/>
      <c r="B61" s="45"/>
      <c r="C61" s="41"/>
      <c r="D61" s="41"/>
      <c r="E61" s="41"/>
      <c r="F61" s="46"/>
    </row>
    <row r="63" spans="1:12" ht="23.25" customHeight="1" x14ac:dyDescent="0.2">
      <c r="B63" s="1" t="s">
        <v>8</v>
      </c>
      <c r="C63" s="1" t="s">
        <v>23</v>
      </c>
      <c r="D63" s="1" t="s">
        <v>9</v>
      </c>
      <c r="E63" s="1" t="s">
        <v>10</v>
      </c>
    </row>
    <row r="64" spans="1:12" ht="23.25" customHeight="1" x14ac:dyDescent="0.2">
      <c r="A64" s="8" t="s">
        <v>11</v>
      </c>
      <c r="B64" s="1"/>
      <c r="C64" s="1"/>
      <c r="D64" s="1"/>
      <c r="E64" s="1"/>
    </row>
    <row r="66" spans="1:6" ht="23.25" customHeight="1" x14ac:dyDescent="0.2">
      <c r="A66" s="19" t="s">
        <v>36</v>
      </c>
      <c r="B66" s="16"/>
      <c r="C66" s="17"/>
      <c r="D66" s="18"/>
      <c r="E66" s="10"/>
    </row>
    <row r="68" spans="1:6" ht="23.25" customHeight="1" x14ac:dyDescent="0.15">
      <c r="A68" s="20" t="s">
        <v>31</v>
      </c>
      <c r="B68" s="21"/>
      <c r="C68" s="21"/>
      <c r="D68" s="21"/>
      <c r="E68" s="21"/>
      <c r="F68" s="21"/>
    </row>
    <row r="69" spans="1:6" ht="130.5" customHeight="1" x14ac:dyDescent="0.2">
      <c r="A69" s="22"/>
      <c r="B69" s="22"/>
      <c r="C69" s="22"/>
      <c r="D69" s="22"/>
      <c r="E69" s="22"/>
      <c r="F69" s="22"/>
    </row>
    <row r="70" spans="1:6" ht="23.25" customHeight="1" x14ac:dyDescent="0.2">
      <c r="A70" s="21"/>
      <c r="B70" s="21"/>
      <c r="C70" s="21"/>
      <c r="D70" s="21"/>
      <c r="E70" s="21"/>
      <c r="F70" s="21"/>
    </row>
  </sheetData>
  <mergeCells count="6">
    <mergeCell ref="A69:F69"/>
    <mergeCell ref="J36:M36"/>
    <mergeCell ref="C45:D45"/>
    <mergeCell ref="C46:D46"/>
    <mergeCell ref="A59:A61"/>
    <mergeCell ref="B59:F6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5755-B3F4-A041-8801-ACD56112111B}">
  <dimension ref="A1"/>
  <sheetViews>
    <sheetView workbookViewId="0"/>
  </sheetViews>
  <sheetFormatPr baseColWidth="10" defaultColWidth="11.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Pràctica A</vt:lpstr>
      <vt:lpstr>Càlculs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IGNASI</dc:creator>
  <cp:keywords/>
  <dc:description/>
  <cp:lastModifiedBy>Sergio Castañeiras Morales</cp:lastModifiedBy>
  <cp:revision/>
  <dcterms:created xsi:type="dcterms:W3CDTF">2021-03-22T14:48:22Z</dcterms:created>
  <dcterms:modified xsi:type="dcterms:W3CDTF">2025-05-11T20:45:42Z</dcterms:modified>
  <cp:category/>
  <cp:contentStatus/>
</cp:coreProperties>
</file>