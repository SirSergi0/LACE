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rgio/Desktop/University/5nto/LACE/LACE/Sergio i Dome/"/>
    </mc:Choice>
  </mc:AlternateContent>
  <xr:revisionPtr revIDLastSave="0" documentId="13_ncr:1_{8CB3706F-13DC-3347-80D0-FBF0B7457780}" xr6:coauthVersionLast="47" xr6:coauthVersionMax="47" xr10:uidLastSave="{00000000-0000-0000-0000-000000000000}"/>
  <bookViews>
    <workbookView xWindow="-3160" yWindow="-21600" windowWidth="38400" windowHeight="21600" activeTab="1" xr2:uid="{00000000-000D-0000-FFFF-FFFF00000000}"/>
  </bookViews>
  <sheets>
    <sheet name="C1" sheetId="1" r:id="rId1"/>
    <sheet name="C2" sheetId="4" r:id="rId2"/>
    <sheet name="Càlculs" sheetId="3" r:id="rId3"/>
  </sheets>
  <externalReferences>
    <externalReference r:id="rId4"/>
  </externalReferences>
  <definedNames>
    <definedName name="_xlnm.Print_Area" localSheetId="0">'C1'!$A$1:$I$60</definedName>
    <definedName name="_xlnm.Print_Area" localSheetId="1">'C2'!$A$1:$I$4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8" i="1" l="1"/>
  <c r="E70" i="1"/>
  <c r="F33" i="1"/>
  <c r="J22" i="1"/>
  <c r="J23" i="1" s="1"/>
  <c r="F30" i="1" s="1"/>
  <c r="E44" i="1" l="1"/>
  <c r="E43" i="1"/>
  <c r="E62" i="1" s="1"/>
  <c r="E42" i="1"/>
  <c r="E41" i="1"/>
  <c r="E45" i="1"/>
  <c r="I74" i="1" l="1" a="1"/>
  <c r="K89" i="1"/>
  <c r="I74" i="1" l="1"/>
  <c r="K91" i="1"/>
  <c r="G91" i="1" s="1"/>
  <c r="I94" i="1" s="1"/>
  <c r="E105" i="1" s="1"/>
  <c r="K90" i="1"/>
  <c r="G88" i="1"/>
  <c r="G94" i="1" s="1"/>
  <c r="D105" i="1" s="1"/>
  <c r="G105" i="1" l="1"/>
  <c r="F105" i="1"/>
  <c r="H105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<sst xmlns="http://schemas.openxmlformats.org/spreadsheetml/2006/main" count="122" uniqueCount="99">
  <si>
    <t>Grup pràctiques:</t>
  </si>
  <si>
    <t>Alumnes:</t>
  </si>
  <si>
    <t>1. Descripció de la mostra</t>
  </si>
  <si>
    <t>7. Gotes (o volum) emprat al punt (1) de la pràctica:</t>
  </si>
  <si>
    <t>Absorbància</t>
  </si>
  <si>
    <t>Gotes (o volum) afegit al matràs</t>
  </si>
  <si>
    <t>Volum (mL) dissolució de treball de Fe(II)</t>
  </si>
  <si>
    <t>Parella:</t>
  </si>
  <si>
    <t xml:space="preserve">10. Volum teòric de dissolució que s'ha de pipetejar per tenir una </t>
  </si>
  <si>
    <t>11. Volum real pipetejat:</t>
  </si>
  <si>
    <t xml:space="preserve">absorbància a la part central de la recta: </t>
  </si>
  <si>
    <t>12. Absorbància del blanc de la mostra:</t>
  </si>
  <si>
    <t>13. Absorbància mesurada de la mostra:</t>
  </si>
  <si>
    <t>14. Absorbància corregida de la mostra:</t>
  </si>
  <si>
    <t>9. Exemple del càlcul de la concentració d'un patro de Fe(II):</t>
  </si>
  <si>
    <t>Data:</t>
  </si>
  <si>
    <t>Informe pràctica C1</t>
  </si>
  <si>
    <t>Contingut de Fe al comprimit (mg):</t>
  </si>
  <si>
    <t>Concentració mitjana (mg/mL)</t>
  </si>
  <si>
    <t>Desviació estàndard</t>
  </si>
  <si>
    <t>Desviació estàndard relativa (%)</t>
  </si>
  <si>
    <t>Número de parella</t>
  </si>
  <si>
    <t>el vostre</t>
  </si>
  <si>
    <t>2. Massa del comprimit (mg):</t>
  </si>
  <si>
    <t xml:space="preserve">3. Massa pesada de sal de Mohr (g): </t>
  </si>
  <si>
    <t>4. Càlcul de la concentració de la dissolució estoc de Fe(II):</t>
  </si>
  <si>
    <t>5. Concentració dissolució treball Fe(II) (mg/mL):</t>
  </si>
  <si>
    <t>8. Ompliu la taula fent servir fórmules a les caselles a on s'hagin de fer càlculs i no afegint només el resultat (clica sobre el 6 per veure exemple i esborra'l)</t>
  </si>
  <si>
    <t>15. Representeu la recta de calibratge:</t>
  </si>
  <si>
    <t>Interval de confiança</t>
  </si>
  <si>
    <t>16. Concentració de Fe(II) interpolat a la recta de calibratge:</t>
  </si>
  <si>
    <t>IMPORTANT: NO S'AVALUARÀ SI EL RESULTAT TROBAT COINCIDEIX AMB L'ESPERAT, SI NO LA CAPACITAT D'INTERPRETAR</t>
  </si>
  <si>
    <t>ELS RESULTATS I SI AQUEST NO COINCIDEIX AMB L'ESPERAT, LA POSSIBLE CAUSA I SOLUCIÓ.</t>
  </si>
  <si>
    <t>Concentració patró de Fe(II) (mg/mL)</t>
  </si>
  <si>
    <t>6. Concentració de Fe(II) a la dissolució del comprimit (g/mL):</t>
  </si>
  <si>
    <t>17. Desviació estàndard de la concentració calculada:</t>
  </si>
  <si>
    <t>Contingut nominal de Fe a la mostra (indicat a l'etiqueta, considereu aquest valor com el valor real):</t>
  </si>
  <si>
    <t>Existeixen diferències significatives entre la precisió dels dos mètodes?</t>
  </si>
  <si>
    <t>(es considera que els diferents resultats son replicats de mostra)</t>
  </si>
  <si>
    <t xml:space="preserve">19. Compara i comenta els valors del contingut de Ferro trobat amb el nominal. </t>
  </si>
  <si>
    <t>20. Omple la taula afegint el vostre resultat i el de la resta de les parelles que han fet la mateixa pràctica:</t>
  </si>
  <si>
    <t>21. Observacions i comentaris dels resultats del punt 20 (valors anòmals, precisió dels resultats...):</t>
  </si>
  <si>
    <t>senyal AASF</t>
  </si>
  <si>
    <t>RSD</t>
  </si>
  <si>
    <t>Concentració (ppm Fe)</t>
  </si>
  <si>
    <t>4. Concentració de Fe en la mostra:</t>
  </si>
  <si>
    <t xml:space="preserve">7. Comenta els resultats del contingut de ferro trobat pels diferents mètodes amb el contingut indicat a l'etiqueta del producte. </t>
  </si>
  <si>
    <t>IMPORTANT: NO S'AVALUARÀ SI EL RESULTAT TROBAT EN Fe COINCIDEIX AMB L'ESPERAT O NO, SI NO LA CAPACITAT D'INTERPRETAR</t>
  </si>
  <si>
    <t>8. Completa la taula següent (afegiu el vostre resultat i el de la resta de les parelles que han fet la mateixa pràctica):</t>
  </si>
  <si>
    <t>10. Compareu la precisió dels dos mètodes (test F)</t>
  </si>
  <si>
    <t>9. Observacions i comentaris dels resultats de la taula anterior (valors anòmals, precisió dels resultats...):</t>
  </si>
  <si>
    <t>11.  Existeixen diferències significatives entre els resultats obtinguts pels dos mètodes diferents? (test comparació de dades aparellades)</t>
  </si>
  <si>
    <t>12. Quins avantatges i inconvenients representa la determinació de ferro mijançant l'us de UV-Vis davant l'AASF?  (laboriositat, rapidesa, material, manipulació, perillositat...)</t>
  </si>
  <si>
    <t>1. Descripció de l'instrument AASF utilizat</t>
  </si>
  <si>
    <t>Concentració (ppm Mn)</t>
  </si>
  <si>
    <t>3. Representeu les rectes de calibratge pel Fe i pel Mn</t>
  </si>
  <si>
    <t>Concentració de Mn en la mostra:</t>
  </si>
  <si>
    <t>6. Contingut de Fe al comprimit (mg) amb el seu interval de confiança:</t>
  </si>
  <si>
    <t>Contingut de Mn al comprimit (mg) amb el seu interval de confiança:</t>
  </si>
  <si>
    <t>5. Desviació estàndard de la concentració calculada (Fe):</t>
  </si>
  <si>
    <t>Desviació estàndard de la concentració calculada (Mn)</t>
  </si>
  <si>
    <t xml:space="preserve">2. Massa pesada de sal de Mn (g): </t>
  </si>
  <si>
    <t>3. Càlcul de la concentració de la dissolució estoc de Mn(II) i dilucions intermèdies:</t>
  </si>
  <si>
    <t>4. Concentració de Mn(II) a la dissolució del comprimit (g/mL):</t>
  </si>
  <si>
    <t>5. Dades obtingudes del calibratge per patró extern</t>
  </si>
  <si>
    <t>GRUP 2.1 (G3) tarda - 2on torn </t>
  </si>
  <si>
    <t>T_18</t>
  </si>
  <si>
    <t>Sergio Castañeiras Morales i Domènec Huerta Estradé</t>
  </si>
  <si>
    <t>g/comprimit</t>
  </si>
  <si>
    <t>mg</t>
  </si>
  <si>
    <t>Dades</t>
  </si>
  <si>
    <t>PM (sal de Mohr)  (g/mol)</t>
  </si>
  <si>
    <t>PM (sal de Mohr) (g/mol)</t>
  </si>
  <si>
    <t>Resultat amb excel</t>
  </si>
  <si>
    <t>Quantitat de Fe^(2+) (mg)</t>
  </si>
  <si>
    <t>Concentració Fe^(2+) (mg Fe^(2+)/mL)</t>
  </si>
  <si>
    <t>mg/mL</t>
  </si>
  <si>
    <t xml:space="preserve">g/mL </t>
  </si>
  <si>
    <t>Aquest valor s'obté a partir de les dades del contingut vitamínic que apareix a l'envàs</t>
  </si>
  <si>
    <t>Per 10 mL de la dissolució de treball de 0.02 ppm de Fe(II) amb 3 gotes d'acetat de sodi 2M hem arribat a un pH d'aproximadament 4</t>
  </si>
  <si>
    <t>mL</t>
  </si>
  <si>
    <t>Absorbància = m * [Fe (II)] + n</t>
  </si>
  <si>
    <t>m</t>
  </si>
  <si>
    <t>n</t>
  </si>
  <si>
    <t>u_m</t>
  </si>
  <si>
    <t>u_n</t>
  </si>
  <si>
    <t>R^2</t>
  </si>
  <si>
    <t>S_{y/x}</t>
  </si>
  <si>
    <t>F</t>
  </si>
  <si>
    <t>dof</t>
  </si>
  <si>
    <t>Ssreg</t>
  </si>
  <si>
    <t>Ssresid</t>
  </si>
  <si>
    <t>Absorbància_{avg}</t>
  </si>
  <si>
    <t>S_{xx}</t>
  </si>
  <si>
    <t>S_0</t>
  </si>
  <si>
    <t>t_{tab}</t>
  </si>
  <si>
    <t>18. Contingut de Fe(II) al comprimit (mg) amb el seu interval de confiança</t>
  </si>
  <si>
    <t>±</t>
  </si>
  <si>
    <t>mg per comprimit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</si>
</sst>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"/>
    <numFmt numFmtId="166" formatCode="0.00000"/>
    <numFmt numFmtId="167" formatCode="0.0000000"/>
    <numFmt numFmtId="168" formatCode="0.00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i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rgb="FF1F1F1F"/>
      <name val="Arial"/>
      <family val="2"/>
    </font>
    <font>
      <b/>
      <sz val="1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/>
    <xf numFmtId="0" fontId="8" fillId="0" borderId="1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9" fillId="0" borderId="0" xfId="0" applyFont="1"/>
    <xf numFmtId="14" fontId="1" fillId="0" borderId="0" xfId="0" applyNumberFormat="1" applyFont="1"/>
    <xf numFmtId="0" fontId="10" fillId="0" borderId="0" xfId="0" applyFont="1" applyAlignment="1">
      <alignment horizontal="center"/>
    </xf>
    <xf numFmtId="0" fontId="10" fillId="0" borderId="0" xfId="0" applyFont="1"/>
    <xf numFmtId="0" fontId="1" fillId="0" borderId="0" xfId="0" applyFont="1" applyAlignment="1">
      <alignment vertical="center" wrapText="1"/>
    </xf>
    <xf numFmtId="0" fontId="11" fillId="0" borderId="0" xfId="0" applyFont="1"/>
    <xf numFmtId="164" fontId="1" fillId="0" borderId="0" xfId="0" applyNumberFormat="1" applyFont="1"/>
    <xf numFmtId="0" fontId="12" fillId="0" borderId="0" xfId="0" applyFont="1"/>
    <xf numFmtId="165" fontId="1" fillId="0" borderId="0" xfId="0" applyNumberFormat="1" applyFont="1"/>
    <xf numFmtId="166" fontId="1" fillId="0" borderId="0" xfId="0" applyNumberFormat="1" applyFont="1"/>
    <xf numFmtId="165" fontId="0" fillId="0" borderId="0" xfId="0" applyNumberFormat="1" applyAlignment="1">
      <alignment horizontal="center"/>
    </xf>
    <xf numFmtId="164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167" fontId="5" fillId="0" borderId="1" xfId="0" applyNumberFormat="1" applyFon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/>
    </xf>
    <xf numFmtId="168" fontId="5" fillId="0" borderId="1" xfId="0" applyNumberFormat="1" applyFont="1" applyBorder="1" applyAlignment="1">
      <alignment horizontal="center" vertical="center" wrapText="1"/>
    </xf>
    <xf numFmtId="2" fontId="1" fillId="0" borderId="0" xfId="0" applyNumberFormat="1" applyFont="1"/>
    <xf numFmtId="0" fontId="1" fillId="0" borderId="0" xfId="0" applyFont="1" applyAlignment="1">
      <alignment horizontal="right" vertical="top"/>
    </xf>
    <xf numFmtId="0" fontId="1" fillId="0" borderId="12" xfId="0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1" fontId="0" fillId="0" borderId="1" xfId="0" applyNumberFormat="1" applyBorder="1"/>
    <xf numFmtId="165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1" fontId="0" fillId="0" borderId="1" xfId="0" applyNumberFormat="1" applyBorder="1"/>
    <xf numFmtId="0" fontId="1" fillId="0" borderId="1" xfId="0" applyFont="1" applyBorder="1" applyAlignment="1">
      <alignment vertical="center"/>
    </xf>
    <xf numFmtId="165" fontId="1" fillId="0" borderId="1" xfId="0" applyNumberFormat="1" applyFont="1" applyBorder="1"/>
    <xf numFmtId="166" fontId="1" fillId="0" borderId="1" xfId="0" applyNumberFormat="1" applyFont="1" applyBorder="1"/>
    <xf numFmtId="164" fontId="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Calibratge per</a:t>
            </a:r>
            <a:r>
              <a:rPr lang="es-ES_tradnl" baseline="0"/>
              <a:t> patrons externs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5260913613929539E-2"/>
                  <c:y val="-3.17254870006096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ES"/>
                </a:p>
              </c:txPr>
            </c:trendlineLbl>
          </c:trendline>
          <c:xVal>
            <c:numRef>
              <c:f>[1]C1!$E$41:$E$45</c:f>
              <c:numCache>
                <c:formatCode>General</c:formatCode>
                <c:ptCount val="5"/>
                <c:pt idx="0">
                  <c:v>8.2028663232519008E-4</c:v>
                </c:pt>
                <c:pt idx="1">
                  <c:v>1.6405732646503802E-3</c:v>
                </c:pt>
                <c:pt idx="2">
                  <c:v>2.4608598969755703E-3</c:v>
                </c:pt>
                <c:pt idx="3">
                  <c:v>3.2811465293007603E-3</c:v>
                </c:pt>
                <c:pt idx="4">
                  <c:v>4.1014331616259503E-3</c:v>
                </c:pt>
              </c:numCache>
            </c:numRef>
          </c:xVal>
          <c:yVal>
            <c:numRef>
              <c:f>[1]C1!$F$41:$F$45</c:f>
              <c:numCache>
                <c:formatCode>General</c:formatCode>
                <c:ptCount val="5"/>
                <c:pt idx="0">
                  <c:v>0.156</c:v>
                </c:pt>
                <c:pt idx="1">
                  <c:v>0.33100000000000002</c:v>
                </c:pt>
                <c:pt idx="2">
                  <c:v>0.496</c:v>
                </c:pt>
                <c:pt idx="3">
                  <c:v>0.67500000000000004</c:v>
                </c:pt>
                <c:pt idx="4">
                  <c:v>0.86799999999999999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5F-804B-A89F-2D60BE971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5138687"/>
        <c:axId val="1217966191"/>
      </c:scatterChart>
      <c:valAx>
        <c:axId val="1625138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_tradnl"/>
                  <a:t>Concentració patró de Fe (II) [mg/mL]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#,##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17966191"/>
        <c:crosses val="autoZero"/>
        <c:crossBetween val="midCat"/>
      </c:valAx>
      <c:valAx>
        <c:axId val="12179661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_tradnl"/>
                  <a:t>Absorbància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25138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47</xdr:row>
      <xdr:rowOff>9525</xdr:rowOff>
    </xdr:from>
    <xdr:to>
      <xdr:col>5</xdr:col>
      <xdr:colOff>819150</xdr:colOff>
      <xdr:row>57</xdr:row>
      <xdr:rowOff>171450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AE760F90-9A37-4403-8941-A46B1206963D}"/>
            </a:ext>
          </a:extLst>
        </xdr:cNvPr>
        <xdr:cNvSpPr txBox="1"/>
      </xdr:nvSpPr>
      <xdr:spPr>
        <a:xfrm>
          <a:off x="85725" y="6562725"/>
          <a:ext cx="4171950" cy="2066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ca-ES" sz="1100"/>
        </a:p>
      </xdr:txBody>
    </xdr:sp>
    <xdr:clientData/>
  </xdr:twoCellAnchor>
  <xdr:twoCellAnchor>
    <xdr:from>
      <xdr:col>0</xdr:col>
      <xdr:colOff>162560</xdr:colOff>
      <xdr:row>15</xdr:row>
      <xdr:rowOff>119381</xdr:rowOff>
    </xdr:from>
    <xdr:to>
      <xdr:col>6</xdr:col>
      <xdr:colOff>324255</xdr:colOff>
      <xdr:row>26</xdr:row>
      <xdr:rowOff>23708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CuadroTexto 2">
              <a:extLst>
                <a:ext uri="{FF2B5EF4-FFF2-40B4-BE49-F238E27FC236}">
                  <a16:creationId xmlns:a16="http://schemas.microsoft.com/office/drawing/2014/main" id="{6D390E55-687E-B046-9533-F1E0A77369BE}"/>
                </a:ext>
              </a:extLst>
            </xdr:cNvPr>
            <xdr:cNvSpPr txBox="1"/>
          </xdr:nvSpPr>
          <xdr:spPr>
            <a:xfrm>
              <a:off x="162560" y="3764281"/>
              <a:ext cx="7349895" cy="1999827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ca-ES" sz="1100">
                  <a:solidFill>
                    <a:sysClr val="windowText" lastClr="000000"/>
                  </a:solidFill>
                </a:rPr>
                <a:t>Dades:</a:t>
              </a:r>
            </a:p>
            <a:p>
              <a:r>
                <a:rPr lang="ca-ES" sz="1100">
                  <a:solidFill>
                    <a:sysClr val="windowText" lastClr="000000"/>
                  </a:solidFill>
                </a:rPr>
                <a:t>	PM (sal de Mohr) = 392.14 g/mol</a:t>
              </a:r>
            </a:p>
            <a:p>
              <a:r>
                <a:rPr lang="ca-ES" sz="1100">
                  <a:solidFill>
                    <a:sysClr val="windowText" lastClr="000000"/>
                  </a:solidFill>
                </a:rPr>
                <a:t>	PA</a:t>
              </a:r>
              <a:r>
                <a:rPr lang="ca-ES" sz="1100" baseline="0">
                  <a:solidFill>
                    <a:sysClr val="windowText" lastClr="000000"/>
                  </a:solidFill>
                </a:rPr>
                <a:t> (Fe) = 55.845 g/ mol</a:t>
              </a:r>
            </a:p>
            <a:p>
              <a:r>
                <a:rPr lang="ca-ES" sz="1100" baseline="0">
                  <a:solidFill>
                    <a:sysClr val="windowText" lastClr="000000"/>
                  </a:solidFill>
                </a:rPr>
                <a:t>Càlcul:</a:t>
              </a:r>
            </a:p>
            <a:p>
              <a:endParaRPr lang="ca-ES" sz="1100" baseline="0">
                <a:solidFill>
                  <a:sysClr val="windowText" lastClr="000000"/>
                </a:solidFill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144</m:t>
                    </m:r>
                    <m:r>
                      <a:rPr lang="ca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es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𝑚</m:t>
                    </m:r>
                    <m:r>
                      <a:rPr lang="ca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𝑔</m:t>
                    </m:r>
                    <m:r>
                      <a:rPr lang="ca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ca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𝑠𝑎𝑙</m:t>
                    </m:r>
                    <m:r>
                      <a:rPr lang="ca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ca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𝑑𝑒</m:t>
                    </m:r>
                    <m:r>
                      <a:rPr lang="ca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ca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𝑀𝑜h𝑟</m:t>
                    </m:r>
                    <m:r>
                      <a:rPr lang="ca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·</m:t>
                    </m:r>
                    <m:f>
                      <m:fPr>
                        <m:ctrlP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1 </m:t>
                        </m:r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𝑔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𝑠𝑎𝑙</m:t>
                        </m:r>
                      </m:num>
                      <m:den>
                        <m:sSup>
                          <m:sSupPr>
                            <m:ctrlPr>
                              <a:rPr lang="ca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s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𝑔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𝑠𝑎𝑙</m:t>
                        </m:r>
                      </m:den>
                    </m:f>
                    <m:r>
                      <a:rPr lang="es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·</m:t>
                    </m:r>
                    <m:f>
                      <m:fPr>
                        <m:ctrlP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1 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𝑚𝑜𝑙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𝑠𝑎𝑙</m:t>
                        </m:r>
                      </m:num>
                      <m:den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392.14 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𝑔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𝑠𝑎𝑙</m:t>
                        </m:r>
                      </m:den>
                    </m:f>
                    <m:r>
                      <a:rPr lang="ca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·</m:t>
                    </m:r>
                    <m:f>
                      <m:fPr>
                        <m:ctrlP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1 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𝑚𝑜𝑙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  <m:sSup>
                          <m:sSupPr>
                            <m:ctrlPr>
                              <a:rPr lang="ca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ca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ca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2+</m:t>
                            </m:r>
                          </m:sup>
                        </m:sSup>
                      </m:num>
                      <m:den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1 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𝑚𝑜𝑙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𝑠𝑎𝑙</m:t>
                        </m:r>
                      </m:den>
                    </m:f>
                    <m:r>
                      <a:rPr lang="ca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·</m:t>
                    </m:r>
                    <m:f>
                      <m:fPr>
                        <m:ctrlP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55.845 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𝑔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  <m:sSup>
                          <m:sSupPr>
                            <m:ctrlPr>
                              <a:rPr lang="ca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ca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ca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2+</m:t>
                            </m:r>
                          </m:sup>
                        </m:sSup>
                      </m:num>
                      <m:den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1 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𝑚𝑜𝑙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  <m:sSup>
                          <m:sSupPr>
                            <m:ctrlPr>
                              <a:rPr lang="ca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ca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ca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2+</m:t>
                            </m:r>
                          </m:sup>
                        </m:sSup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</m:den>
                    </m:f>
                    <m:r>
                      <a:rPr lang="es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·</m:t>
                    </m:r>
                    <m:f>
                      <m:fPr>
                        <m:ctrlP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ca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s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𝑚𝑔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  <m:sSup>
                          <m:sSupPr>
                            <m:ctrlPr>
                              <a:rPr lang="ca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ca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ca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2+</m:t>
                            </m:r>
                          </m:sup>
                        </m:sSup>
                      </m:num>
                      <m:den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𝑔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  <m:sSup>
                          <m:sSupPr>
                            <m:ctrlPr>
                              <a:rPr lang="ca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ca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ca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2+</m:t>
                            </m:r>
                          </m:sup>
                        </m:sSup>
                      </m:den>
                    </m:f>
                    <m:r>
                      <a:rPr lang="es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=20.5</m:t>
                    </m:r>
                    <m:r>
                      <a:rPr lang="ca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ca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𝑚𝑔</m:t>
                    </m:r>
                    <m:r>
                      <a:rPr lang="es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es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𝐹</m:t>
                    </m:r>
                    <m:sSup>
                      <m:sSupPr>
                        <m:ctrlP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2+</m:t>
                        </m:r>
                      </m:sup>
                    </m:sSup>
                  </m:oMath>
                </m:oMathPara>
              </a14:m>
              <a:endParaRPr lang="ca-ES" sz="1100" baseline="0">
                <a:solidFill>
                  <a:sysClr val="windowText" lastClr="000000"/>
                </a:solidFill>
              </a:endParaRPr>
            </a:p>
            <a:p>
              <a:endParaRPr lang="es-ES" sz="1100" b="0" i="1" baseline="0">
                <a:solidFill>
                  <a:sysClr val="windowText" lastClr="000000"/>
                </a:solidFill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20.5</m:t>
                        </m:r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𝑚𝑔</m:t>
                        </m:r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  <m:sSup>
                          <m:sSupPr>
                            <m:ctrlPr>
                              <a:rPr lang="es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es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2+</m:t>
                            </m:r>
                          </m:sup>
                        </m:sSup>
                      </m:num>
                      <m:den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500.0 </m:t>
                        </m:r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𝑚𝐿</m:t>
                        </m:r>
                      </m:den>
                    </m:f>
                    <m:r>
                      <a:rPr lang="es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=0.041</m:t>
                    </m:r>
                    <m:f>
                      <m:fPr>
                        <m:ctrlP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  <m:sSup>
                          <m:sSupPr>
                            <m:ctrlPr>
                              <a:rPr lang="es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es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2+</m:t>
                            </m:r>
                          </m:sup>
                        </m:sSup>
                      </m:num>
                      <m:den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𝑚𝐿</m:t>
                        </m:r>
                      </m:den>
                    </m:f>
                  </m:oMath>
                </m:oMathPara>
              </a14:m>
              <a:endParaRPr lang="ca-ES" sz="1100" b="1" baseline="0">
                <a:solidFill>
                  <a:sysClr val="windowText" lastClr="000000"/>
                </a:solidFill>
              </a:endParaRPr>
            </a:p>
          </xdr:txBody>
        </xdr:sp>
      </mc:Choice>
      <mc:Fallback>
        <xdr:sp macro="" textlink="">
          <xdr:nvSpPr>
            <xdr:cNvPr id="4" name="CuadroTexto 2">
              <a:extLst>
                <a:ext uri="{FF2B5EF4-FFF2-40B4-BE49-F238E27FC236}">
                  <a16:creationId xmlns:a16="http://schemas.microsoft.com/office/drawing/2014/main" id="{6D390E55-687E-B046-9533-F1E0A77369BE}"/>
                </a:ext>
              </a:extLst>
            </xdr:cNvPr>
            <xdr:cNvSpPr txBox="1"/>
          </xdr:nvSpPr>
          <xdr:spPr>
            <a:xfrm>
              <a:off x="162560" y="3764281"/>
              <a:ext cx="7349895" cy="1999827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ca-ES" sz="1100">
                  <a:solidFill>
                    <a:sysClr val="windowText" lastClr="000000"/>
                  </a:solidFill>
                </a:rPr>
                <a:t>Dades:</a:t>
              </a:r>
            </a:p>
            <a:p>
              <a:r>
                <a:rPr lang="ca-ES" sz="1100">
                  <a:solidFill>
                    <a:sysClr val="windowText" lastClr="000000"/>
                  </a:solidFill>
                </a:rPr>
                <a:t>	PM (sal de Mohr) = 392.14 g/mol</a:t>
              </a:r>
            </a:p>
            <a:p>
              <a:r>
                <a:rPr lang="ca-ES" sz="1100">
                  <a:solidFill>
                    <a:sysClr val="windowText" lastClr="000000"/>
                  </a:solidFill>
                </a:rPr>
                <a:t>	PA</a:t>
              </a:r>
              <a:r>
                <a:rPr lang="ca-ES" sz="1100" baseline="0">
                  <a:solidFill>
                    <a:sysClr val="windowText" lastClr="000000"/>
                  </a:solidFill>
                </a:rPr>
                <a:t> (Fe) = 55.845 g/ mol</a:t>
              </a:r>
            </a:p>
            <a:p>
              <a:r>
                <a:rPr lang="ca-ES" sz="1100" baseline="0">
                  <a:solidFill>
                    <a:sysClr val="windowText" lastClr="000000"/>
                  </a:solidFill>
                </a:rPr>
                <a:t>Càlcul:</a:t>
              </a:r>
            </a:p>
            <a:p>
              <a:endParaRPr lang="ca-ES" sz="1100" baseline="0">
                <a:solidFill>
                  <a:sysClr val="windowText" lastClr="000000"/>
                </a:solidFill>
              </a:endParaRPr>
            </a:p>
            <a:p>
              <a:pPr/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144</a:t>
              </a:r>
              <a:r>
                <a:rPr lang="ca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 </a:t>
              </a:r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𝑚</a:t>
              </a:r>
              <a:r>
                <a:rPr lang="ca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𝑔 𝑠𝑎𝑙 𝑑𝑒 𝑀𝑜ℎ𝑟·(1 </a:t>
              </a:r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𝑔</a:t>
              </a:r>
              <a:r>
                <a:rPr lang="ca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 𝑠𝑎𝑙)/(</a:t>
              </a:r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10</a:t>
              </a:r>
              <a:r>
                <a:rPr lang="ca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^</a:t>
              </a:r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3</a:t>
              </a:r>
              <a:r>
                <a:rPr lang="ca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  </a:t>
              </a:r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𝑔</a:t>
              </a:r>
              <a:r>
                <a:rPr lang="ca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 𝑠𝑎𝑙)</a:t>
              </a:r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·</a:t>
              </a:r>
              <a:r>
                <a:rPr lang="ca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(1 𝑚𝑜𝑙 𝑠𝑎𝑙)/(392.14 𝑔 𝑠𝑎𝑙)·(1 𝑚𝑜𝑙 𝐹𝑒^(2+))/(1 𝑚𝑜𝑙 𝑠𝑎𝑙)·(55.845 𝑔 𝐹𝑒^(2+))/(1 𝑚𝑜𝑙 𝐹𝑒^(2+)  )</a:t>
              </a:r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·</a:t>
              </a:r>
              <a:r>
                <a:rPr lang="ca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(</a:t>
              </a:r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10</a:t>
              </a:r>
              <a:r>
                <a:rPr lang="ca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^</a:t>
              </a:r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3</a:t>
              </a:r>
              <a:r>
                <a:rPr lang="ca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  </a:t>
              </a:r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𝑚𝑔</a:t>
              </a:r>
              <a:r>
                <a:rPr lang="ca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 𝐹𝑒^(2+))/( </a:t>
              </a:r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1</a:t>
              </a:r>
              <a:r>
                <a:rPr lang="ca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 </a:t>
              </a:r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𝑔</a:t>
              </a:r>
              <a:r>
                <a:rPr lang="ca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 𝐹𝑒^(2+) )</a:t>
              </a:r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=20.5</a:t>
              </a:r>
              <a:r>
                <a:rPr lang="ca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 𝑚𝑔</a:t>
              </a:r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 𝐹𝑒^(2+)</a:t>
              </a:r>
              <a:endParaRPr lang="ca-ES" sz="1100" baseline="0">
                <a:solidFill>
                  <a:sysClr val="windowText" lastClr="000000"/>
                </a:solidFill>
              </a:endParaRPr>
            </a:p>
            <a:p>
              <a:endParaRPr lang="es-ES" sz="1100" b="0" i="1" baseline="0">
                <a:solidFill>
                  <a:sysClr val="windowText" lastClr="000000"/>
                </a:solidFill>
                <a:latin typeface="Cambria Math" panose="02040503050406030204" pitchFamily="18" charset="0"/>
              </a:endParaRPr>
            </a:p>
            <a:p>
              <a:pPr/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( 20.5</a:t>
              </a:r>
              <a:r>
                <a:rPr lang="es-ES" sz="1100" b="0" i="0" baseline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𝑚𝑔 </a:t>
              </a:r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𝐹𝑒^(2+))/(500.0 𝑚𝐿)=0.041 ( </a:t>
              </a:r>
              <a:r>
                <a:rPr lang="es-ES" sz="1100" b="0" i="0" baseline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𝐹𝑒^(2+))/( 𝑚𝐿)</a:t>
              </a:r>
              <a:endParaRPr lang="ca-ES" sz="1100" b="1" baseline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twoCellAnchor>
  <xdr:twoCellAnchor>
    <xdr:from>
      <xdr:col>0</xdr:col>
      <xdr:colOff>153146</xdr:colOff>
      <xdr:row>47</xdr:row>
      <xdr:rowOff>65740</xdr:rowOff>
    </xdr:from>
    <xdr:to>
      <xdr:col>5</xdr:col>
      <xdr:colOff>886571</xdr:colOff>
      <xdr:row>58</xdr:row>
      <xdr:rowOff>37165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7ACAE765-D698-FB48-B957-080E9F8532E3}"/>
                </a:ext>
              </a:extLst>
            </xdr:cNvPr>
            <xdr:cNvSpPr txBox="1"/>
          </xdr:nvSpPr>
          <xdr:spPr>
            <a:xfrm>
              <a:off x="153146" y="10682940"/>
              <a:ext cx="6956425" cy="20669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ca-ES" sz="1100"/>
                <a:t>Dades:</a:t>
              </a:r>
            </a:p>
            <a:p>
              <a:r>
                <a:rPr lang="ca-ES" sz="1100"/>
                <a:t>	Concentració de la dissolució de treball de Fe (II) = 0.02051 mg</a:t>
              </a:r>
              <a:r>
                <a:rPr lang="ca-ES" sz="1100" baseline="0"/>
                <a:t> Fe(II)/mL</a:t>
              </a:r>
              <a:endParaRPr lang="ca-ES" sz="1100" b="0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ca-ES" sz="1100" b="0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Volum de la dissolució  de treball emprat per fer la dissolució patró = 5.0 mL </a:t>
              </a:r>
            </a:p>
            <a:p>
              <a:r>
                <a:rPr lang="ca-ES" sz="1100" b="0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Volum de la dissolució patró = 25.0 mL</a:t>
              </a:r>
            </a:p>
            <a:p>
              <a:r>
                <a:rPr lang="ca-ES" sz="1100" b="0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Càlculs:</a:t>
              </a:r>
            </a:p>
            <a:p>
              <a:endParaRPr lang="ca-ES" sz="1100" b="0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s-ES" sz="1100" b="0" i="1" u="none" strike="noStrike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ca-ES" sz="1100"/>
                          <m:t>0.02051</m:t>
                        </m:r>
                        <m:r>
                          <a:rPr lang="es-ES" sz="1100" b="0" i="1" u="none" strike="noStrike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f>
                          <m:fPr>
                            <m:ctrlPr>
                              <a:rPr lang="es-ES" sz="1100" b="0" i="1" u="none" strike="noStrike" baseline="0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ES" sz="1100" b="0" i="1" u="none" strike="noStrike" baseline="0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𝑚𝑔</m:t>
                            </m:r>
                            <m:r>
                              <a:rPr lang="es-ES" sz="1100" b="0" i="1" u="none" strike="noStrike" baseline="0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s-ES" sz="1100" b="0" i="1" u="none" strike="noStrike" baseline="0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𝐹</m:t>
                            </m:r>
                            <m:sSup>
                              <m:sSupPr>
                                <m:ctrlPr>
                                  <a:rPr lang="es-ES" sz="1100" b="0" i="1" u="none" strike="noStrike" baseline="0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s-ES" sz="1100" b="0" i="1" u="none" strike="noStrike" baseline="0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𝑒</m:t>
                                </m:r>
                              </m:e>
                              <m:sup>
                                <m:r>
                                  <a:rPr lang="es-ES" sz="1100" b="0" i="1" u="none" strike="noStrike" baseline="0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2+</m:t>
                                </m:r>
                              </m:sup>
                            </m:sSup>
                          </m:num>
                          <m:den>
                            <m:r>
                              <a:rPr lang="es-ES" sz="1100" b="0" i="1" u="none" strike="noStrike" baseline="0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𝑚𝐿</m:t>
                            </m:r>
                          </m:den>
                        </m:f>
                        <m:r>
                          <a:rPr lang="es-ES" sz="1100" b="0" i="1" u="none" strike="noStrike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·5.0 </m:t>
                        </m:r>
                        <m:r>
                          <a:rPr lang="es-ES" sz="1100" b="0" i="1" u="none" strike="noStrike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𝑚𝐿</m:t>
                        </m:r>
                      </m:num>
                      <m:den>
                        <m:r>
                          <a:rPr lang="es-ES" sz="1100" b="0" i="1" u="none" strike="noStrike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25.0 </m:t>
                        </m:r>
                        <m:r>
                          <a:rPr lang="es-ES" sz="1100" b="0" i="1" u="none" strike="noStrike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𝑚𝐿</m:t>
                        </m:r>
                      </m:den>
                    </m:f>
                    <m:r>
                      <a:rPr lang="es-ES" sz="1100" b="0" i="1" u="none" strike="noStrike" baseline="0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m:rPr>
                        <m:nor/>
                      </m:rPr>
                      <a:rPr lang="en-ES" sz="1100" b="0" i="0" u="none" strike="noStrike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0.004101</m:t>
                    </m:r>
                    <m:r>
                      <m:rPr>
                        <m:nor/>
                      </m:rPr>
                      <a:rPr lang="en-ES"/>
                      <m:t> </m:t>
                    </m:r>
                    <m:r>
                      <a:rPr lang="es-ES" sz="1100" b="0" i="1" u="none" strike="noStrike" baseline="0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𝑚𝑔</m:t>
                    </m:r>
                    <m:r>
                      <a:rPr lang="es-ES" sz="1100" b="0" i="1" u="none" strike="noStrike" baseline="0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s-ES" sz="1100" b="0" i="1" u="none" strike="noStrike" baseline="0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𝐹</m:t>
                    </m:r>
                    <m:sSup>
                      <m:sSupPr>
                        <m:ctrlPr>
                          <a:rPr lang="es-ES" sz="1100" b="0" i="1" u="none" strike="noStrike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s-ES" sz="1100" b="0" i="1" u="none" strike="noStrike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𝑒</m:t>
                        </m:r>
                      </m:e>
                      <m:sup>
                        <m:r>
                          <a:rPr lang="es-ES" sz="1100" b="0" i="1" u="none" strike="noStrike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2+</m:t>
                        </m:r>
                      </m:sup>
                    </m:sSup>
                    <m:r>
                      <a:rPr lang="es-ES" sz="1100" b="0" i="1" u="none" strike="noStrike" baseline="0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s-ES" sz="1100" b="0" i="1" u="none" strike="noStrike" baseline="0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𝑚𝐿</m:t>
                    </m:r>
                  </m:oMath>
                </m:oMathPara>
              </a14:m>
              <a:endParaRPr lang="ca-ES" sz="1100" b="0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7ACAE765-D698-FB48-B957-080E9F8532E3}"/>
                </a:ext>
              </a:extLst>
            </xdr:cNvPr>
            <xdr:cNvSpPr txBox="1"/>
          </xdr:nvSpPr>
          <xdr:spPr>
            <a:xfrm>
              <a:off x="153146" y="10682940"/>
              <a:ext cx="6956425" cy="20669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ca-ES" sz="1100"/>
                <a:t>Dades:</a:t>
              </a:r>
            </a:p>
            <a:p>
              <a:r>
                <a:rPr lang="ca-ES" sz="1100"/>
                <a:t>	Concentració de la dissolució de treball de Fe (II) = 0.02051 mg</a:t>
              </a:r>
              <a:r>
                <a:rPr lang="ca-ES" sz="1100" baseline="0"/>
                <a:t> Fe(II)/mL</a:t>
              </a:r>
              <a:endParaRPr lang="ca-ES" sz="1100" b="0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ca-ES" sz="1100" b="0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Volum de la dissolució  de treball emprat per fer la dissolució patró = 5.0 mL </a:t>
              </a:r>
            </a:p>
            <a:p>
              <a:r>
                <a:rPr lang="ca-ES" sz="1100" b="0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Volum de la dissolució patró = 25.0 mL</a:t>
              </a:r>
            </a:p>
            <a:p>
              <a:r>
                <a:rPr lang="ca-ES" sz="1100" b="0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Càlculs:</a:t>
              </a:r>
            </a:p>
            <a:p>
              <a:endParaRPr lang="ca-ES" sz="1100" b="0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/>
              <a:r>
                <a:rPr lang="es-ES" sz="1100" b="0" i="0" u="none" strike="noStrike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ca-ES" sz="1100" b="0" i="0" u="none" strike="noStrike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</a:t>
              </a:r>
              <a:r>
                <a:rPr lang="ca-ES" sz="1100" i="0"/>
                <a:t>0.02051</a:t>
              </a:r>
              <a:r>
                <a:rPr lang="es-ES" sz="1100" b="0" i="0" u="none" strike="noStrike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 (𝑚𝑔 𝐹𝑒^(2+))/𝑚𝐿·5.0 𝑚𝐿)/(25.0 𝑚𝐿)=</a:t>
              </a:r>
              <a:r>
                <a:rPr lang="en-ES" sz="1100" b="0" i="0" u="none" strike="noStrike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</a:t>
              </a:r>
              <a:r>
                <a:rPr lang="en-ES" sz="1100" b="0" i="0" u="none" strike="noStrike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0.004101</a:t>
              </a:r>
              <a:r>
                <a:rPr lang="en-ES" i="0">
                  <a:latin typeface="Cambria Math" panose="02040503050406030204" pitchFamily="18" charset="0"/>
                </a:rPr>
                <a:t> </a:t>
              </a:r>
              <a:r>
                <a:rPr lang="es-ES" sz="1100" b="0" i="0" u="none" strike="noStrike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𝑚𝑔 𝐹𝑒^(2+)/𝑚𝐿</a:t>
              </a:r>
              <a:endParaRPr lang="ca-ES" sz="1100" b="0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twoCellAnchor>
  <xdr:twoCellAnchor>
    <xdr:from>
      <xdr:col>0</xdr:col>
      <xdr:colOff>94168</xdr:colOff>
      <xdr:row>72</xdr:row>
      <xdr:rowOff>203200</xdr:rowOff>
    </xdr:from>
    <xdr:to>
      <xdr:col>6</xdr:col>
      <xdr:colOff>233679</xdr:colOff>
      <xdr:row>85</xdr:row>
      <xdr:rowOff>98119</xdr:rowOff>
    </xdr:to>
    <xdr:graphicFrame macro="">
      <xdr:nvGraphicFramePr>
        <xdr:cNvPr id="6" name="Gráfico 6">
          <a:extLst>
            <a:ext uri="{FF2B5EF4-FFF2-40B4-BE49-F238E27FC236}">
              <a16:creationId xmlns:a16="http://schemas.microsoft.com/office/drawing/2014/main" id="{6667EC3F-5BD4-6246-BC45-8C8BDB9C3C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97</xdr:row>
      <xdr:rowOff>33866</xdr:rowOff>
    </xdr:from>
    <xdr:to>
      <xdr:col>6</xdr:col>
      <xdr:colOff>838200</xdr:colOff>
      <xdr:row>100</xdr:row>
      <xdr:rowOff>59267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7A89E61-2321-DA47-8844-D2A9A5CF6DD9}"/>
            </a:ext>
          </a:extLst>
        </xdr:cNvPr>
        <xdr:cNvSpPr txBox="1"/>
      </xdr:nvSpPr>
      <xdr:spPr>
        <a:xfrm>
          <a:off x="0" y="21242866"/>
          <a:ext cx="8026400" cy="5969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/>
            <a:t>Hem observat que el valor indicat a l’etiqueta, és a dir, el valor nominal de 5 mg per comprimit, es troba dins de l’interval de confiança obtingut mitjançant la recta de calibratge amb la tècnica d’absorció UV-Vis, que és de (5,2 ± 0,4) mg per comprimit. Ambdós resultats són coherents i, per tant, compatibles, fet que ens permet concloure que el resultat és plenament satisfactori.</a:t>
          </a:r>
        </a:p>
      </xdr:txBody>
    </xdr:sp>
    <xdr:clientData/>
  </xdr:twoCellAnchor>
  <xdr:twoCellAnchor>
    <xdr:from>
      <xdr:col>0</xdr:col>
      <xdr:colOff>84667</xdr:colOff>
      <xdr:row>115</xdr:row>
      <xdr:rowOff>76200</xdr:rowOff>
    </xdr:from>
    <xdr:to>
      <xdr:col>6</xdr:col>
      <xdr:colOff>110066</xdr:colOff>
      <xdr:row>122</xdr:row>
      <xdr:rowOff>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ECFF071-C181-344C-A51E-18B28ACFC5EB}"/>
            </a:ext>
          </a:extLst>
        </xdr:cNvPr>
        <xdr:cNvSpPr txBox="1"/>
      </xdr:nvSpPr>
      <xdr:spPr>
        <a:xfrm>
          <a:off x="84667" y="25590500"/>
          <a:ext cx="7213599" cy="1968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Necessitem les dades ...</a:t>
          </a:r>
        </a:p>
      </xdr:txBody>
    </xdr:sp>
    <xdr:clientData/>
  </xdr:twoCellAnchor>
  <xdr:twoCellAnchor>
    <xdr:from>
      <xdr:col>0</xdr:col>
      <xdr:colOff>211666</xdr:colOff>
      <xdr:row>5</xdr:row>
      <xdr:rowOff>93134</xdr:rowOff>
    </xdr:from>
    <xdr:to>
      <xdr:col>7</xdr:col>
      <xdr:colOff>668866</xdr:colOff>
      <xdr:row>6</xdr:row>
      <xdr:rowOff>237069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83A4398-AE0B-0B49-B8FF-1FAEF4765DEC}"/>
            </a:ext>
          </a:extLst>
        </xdr:cNvPr>
        <xdr:cNvSpPr txBox="1"/>
      </xdr:nvSpPr>
      <xdr:spPr>
        <a:xfrm>
          <a:off x="211666" y="1121834"/>
          <a:ext cx="8610600" cy="9694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/>
            <a:t>La</a:t>
          </a:r>
          <a:r>
            <a:rPr lang="en-GB" sz="1100" baseline="0"/>
            <a:t> mostra consisteix en comprimit de la marca Centrum anomenat Multicentrum amb número de lot, </a:t>
          </a:r>
          <a:r>
            <a:rPr lang="en-GB" sz="1100"/>
            <a:t>V57K. Es tracta d'una</a:t>
          </a:r>
          <a:r>
            <a:rPr lang="en-GB" sz="1100" baseline="0"/>
            <a:t> pastilla</a:t>
          </a:r>
          <a:r>
            <a:rPr lang="en-GB" sz="1100"/>
            <a:t> de color blau de la mida d'una pasa</a:t>
          </a:r>
          <a:r>
            <a:rPr lang="en-GB" sz="1100" baseline="0"/>
            <a:t> pensada pel consum via oral. </a:t>
          </a:r>
          <a:endParaRPr lang="en-GB" sz="1100"/>
        </a:p>
      </xdr:txBody>
    </xdr:sp>
    <xdr:clientData/>
  </xdr:twoCellAnchor>
  <xdr:twoCellAnchor>
    <xdr:from>
      <xdr:col>7</xdr:col>
      <xdr:colOff>1532466</xdr:colOff>
      <xdr:row>4</xdr:row>
      <xdr:rowOff>186266</xdr:rowOff>
    </xdr:from>
    <xdr:to>
      <xdr:col>16</xdr:col>
      <xdr:colOff>338667</xdr:colOff>
      <xdr:row>6</xdr:row>
      <xdr:rowOff>118533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9814365-15E2-F847-949A-72C4C4F34004}"/>
            </a:ext>
          </a:extLst>
        </xdr:cNvPr>
        <xdr:cNvSpPr txBox="1"/>
      </xdr:nvSpPr>
      <xdr:spPr>
        <a:xfrm>
          <a:off x="9685866" y="1024466"/>
          <a:ext cx="7937501" cy="9482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A l'etiqueta</a:t>
          </a:r>
          <a:r>
            <a:rPr lang="en-GB" sz="1100" baseline="0"/>
            <a:t> especifica els ingredients: "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Ingredientes: Fosfato dicálcico, óxido de magnesio, incrementador</a:t>
          </a:r>
        </a:p>
        <a:p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potosico, aceato DiL afa , oferi), nicolo amida, fumarato terroso,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arpanimera de catio, oxido de zinc, surato de mangaato calcico,piridoxina clorhidrato, mononitrato de tiamina, ribotlavina, beta-caroteno, aceite vegetal (coco y palma), sulfato cúprico, acetato de retinilo, D-biotina, ácido pteroilmonoglutámico, cloruro de cromo (IlI), molibdato de sodio, yoduro potásico, seleniato sódico, filoquinona, colecalciferol, cianocobalamina, colorante (E 132)."</a:t>
          </a:r>
        </a:p>
        <a:p>
          <a:endParaRPr lang="en-GB" sz="1100"/>
        </a:p>
      </xdr:txBody>
    </xdr:sp>
    <xdr:clientData/>
  </xdr:twoCellAnchor>
  <xdr:twoCellAnchor>
    <xdr:from>
      <xdr:col>23</xdr:col>
      <xdr:colOff>152400</xdr:colOff>
      <xdr:row>5</xdr:row>
      <xdr:rowOff>152400</xdr:rowOff>
    </xdr:from>
    <xdr:to>
      <xdr:col>29</xdr:col>
      <xdr:colOff>254000</xdr:colOff>
      <xdr:row>5</xdr:row>
      <xdr:rowOff>778934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4DFFA27-979E-364B-A1AF-F80471C0B9E0}"/>
            </a:ext>
          </a:extLst>
        </xdr:cNvPr>
        <xdr:cNvSpPr txBox="1"/>
      </xdr:nvSpPr>
      <xdr:spPr>
        <a:xfrm>
          <a:off x="23571200" y="1181100"/>
          <a:ext cx="5359400" cy="6265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Els minerals: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Calcio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162 mg,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Fósforo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125 mg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Magnesio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 mg,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Hierro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 mg,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Yodo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 mcg,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Cobre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0.5 mg,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Manganeso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mg,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Cromo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40 mcg,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Molibdeno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 mcg,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Selenio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30 mcg,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Zinc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 mg</a:t>
          </a:r>
        </a:p>
        <a:p>
          <a:endParaRPr lang="en-GB" sz="1100"/>
        </a:p>
      </xdr:txBody>
    </xdr:sp>
    <xdr:clientData/>
  </xdr:twoCellAnchor>
  <xdr:twoCellAnchor>
    <xdr:from>
      <xdr:col>16</xdr:col>
      <xdr:colOff>838199</xdr:colOff>
      <xdr:row>4</xdr:row>
      <xdr:rowOff>194733</xdr:rowOff>
    </xdr:from>
    <xdr:to>
      <xdr:col>22</xdr:col>
      <xdr:colOff>821267</xdr:colOff>
      <xdr:row>6</xdr:row>
      <xdr:rowOff>152400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D3FBDE9-A9AB-DA42-AEF6-1052D11A0C30}"/>
            </a:ext>
          </a:extLst>
        </xdr:cNvPr>
        <xdr:cNvSpPr txBox="1"/>
      </xdr:nvSpPr>
      <xdr:spPr>
        <a:xfrm>
          <a:off x="18122899" y="1032933"/>
          <a:ext cx="5240868" cy="9736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Contingut vitamínic: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Vitamina A (RE)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800 mcg,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Vitamina D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 mcg,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Vitamina E (a-TE)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 mg,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Vitamina K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30 mcg,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Vitamina C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 mg,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Vitamina B1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1.4 mg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Vitamina B2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1.7 mg,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Vitamina B6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mg,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Vitamina B12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2.5 mcg,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Ácido Fólico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200 mcg,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Biotina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62.5 mcg,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Niacina (NE)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 mg,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Ácido Pantoténico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7.5 mg</a:t>
          </a:r>
        </a:p>
        <a:p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5</xdr:col>
      <xdr:colOff>457200</xdr:colOff>
      <xdr:row>21</xdr:row>
      <xdr:rowOff>161925</xdr:rowOff>
    </xdr:to>
    <xdr:sp macro="" textlink="">
      <xdr:nvSpPr>
        <xdr:cNvPr id="2" name="CuadroTexto 2">
          <a:extLst>
            <a:ext uri="{FF2B5EF4-FFF2-40B4-BE49-F238E27FC236}">
              <a16:creationId xmlns:a16="http://schemas.microsoft.com/office/drawing/2014/main" id="{BBFA22E7-3A23-49BD-B84C-1FABBF8D7BB7}"/>
            </a:ext>
          </a:extLst>
        </xdr:cNvPr>
        <xdr:cNvSpPr txBox="1"/>
      </xdr:nvSpPr>
      <xdr:spPr>
        <a:xfrm>
          <a:off x="171450" y="2171700"/>
          <a:ext cx="4152900" cy="2066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ca-ES" sz="1100"/>
        </a:p>
      </xdr:txBody>
    </xdr:sp>
    <xdr:clientData/>
  </xdr:twoCellAnchor>
  <xdr:twoCellAnchor>
    <xdr:from>
      <xdr:col>0</xdr:col>
      <xdr:colOff>165100</xdr:colOff>
      <xdr:row>5</xdr:row>
      <xdr:rowOff>63500</xdr:rowOff>
    </xdr:from>
    <xdr:to>
      <xdr:col>4</xdr:col>
      <xdr:colOff>845132</xdr:colOff>
      <xdr:row>6</xdr:row>
      <xdr:rowOff>3046669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F1A7488-27C2-1A46-AF64-4867DEB45D4C}"/>
            </a:ext>
          </a:extLst>
        </xdr:cNvPr>
        <xdr:cNvSpPr txBox="1"/>
      </xdr:nvSpPr>
      <xdr:spPr>
        <a:xfrm>
          <a:off x="165100" y="1092200"/>
          <a:ext cx="6458532" cy="31736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b="0"/>
            <a:t>Per a la detecció de la 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concentració de ferro i manganés en un comprimit multivitamínic</a:t>
          </a:r>
          <a:r>
            <a:rPr lang="en-GB"/>
            <a:t> </a:t>
          </a:r>
          <a:r>
            <a:rPr lang="en-GB" b="0"/>
            <a:t>utilitzem el model 55 AA de la marca Agilent, que permet quantificar la mostra mitjançant espectroscòpia d’absorció atòmica.</a:t>
          </a:r>
          <a:br>
            <a:rPr lang="en-GB" b="0"/>
          </a:br>
          <a:endParaRPr lang="en-GB" b="0"/>
        </a:p>
        <a:p>
          <a:pPr algn="ctr"/>
          <a:r>
            <a:rPr lang="en-GB" b="0"/>
            <a:t>Com a font de llum, s’empra una làmpada de càtode buit multielemental. Aquesta làmpada emet a longituds d’ona molt específiques; concretament, ens fixem en l’emissió a 248,3 nm per</a:t>
          </a:r>
          <a:r>
            <a:rPr lang="en-GB" b="0" baseline="0"/>
            <a:t> la quantificació del</a:t>
          </a:r>
          <a:r>
            <a:rPr lang="en-GB" b="0"/>
            <a:t> ferro i 279,5 nm per la quantificació del manganés. Aquestes longitud d’ona és absorbida pels àtoms de ferro</a:t>
          </a:r>
          <a:r>
            <a:rPr lang="en-GB" b="0" baseline="0"/>
            <a:t> i manganés </a:t>
          </a:r>
          <a:r>
            <a:rPr lang="en-GB" b="0"/>
            <a:t>presents en la mostra, els quals s’exciten. Així, podem determinar la concentració de coure mitjançant la diferència d’intensitat entre una mostra sense ferro</a:t>
          </a:r>
          <a:r>
            <a:rPr lang="en-GB" b="0" baseline="0"/>
            <a:t> i manganés</a:t>
          </a:r>
          <a:r>
            <a:rPr lang="en-GB" b="0"/>
            <a:t> (el blanc) i la</a:t>
          </a:r>
          <a:r>
            <a:rPr lang="en-GB" b="0" baseline="0"/>
            <a:t> dissolució que conté el comprimit multivitamínic</a:t>
          </a:r>
          <a:r>
            <a:rPr lang="en-GB" b="0"/>
            <a:t>.</a:t>
          </a:r>
          <a:br>
            <a:rPr lang="en-GB" b="0"/>
          </a:br>
          <a:endParaRPr lang="en-GB" b="0"/>
        </a:p>
        <a:p>
          <a:pPr algn="ctr"/>
          <a:r>
            <a:rPr lang="en-GB" b="0"/>
            <a:t>Després de realitzar un calibratge amb solucions patró de concentració coneguda de ferro i manganés, i mitjançant la llei de Lambert-Beer, podem quantificar la concentració de de ferro i manganés a partir d’una recta de regressió.</a:t>
          </a:r>
          <a:br>
            <a:rPr lang="en-GB" b="0"/>
          </a:br>
          <a:endParaRPr lang="en-GB" b="0"/>
        </a:p>
        <a:p>
          <a:pPr algn="ctr"/>
          <a:r>
            <a:rPr lang="en-GB" b="0"/>
            <a:t>Nota: És essencial mantenir l’equip net i lliure de residus, ja que, en tractar-se d’una tècnica de quantificació atòmica, la presència d’interferències pot provocar desviacions significatives en els resultats.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ergio/Desktop/University/5nto/LACE/LACE/Sergio%20i%20Dome/Informe%20pra&#768;ctica%20C.xlsx" TargetMode="External"/><Relationship Id="rId1" Type="http://schemas.openxmlformats.org/officeDocument/2006/relationships/externalLinkPath" Target="Informe%20pra&#768;ctica%20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1"/>
      <sheetName val="C2"/>
      <sheetName val="Càlculs"/>
    </sheetNames>
    <sheetDataSet>
      <sheetData sheetId="0">
        <row r="41">
          <cell r="E41">
            <v>8.2028663232519008E-4</v>
          </cell>
          <cell r="F41">
            <v>0.156</v>
          </cell>
        </row>
        <row r="42">
          <cell r="E42">
            <v>1.6405732646503802E-3</v>
          </cell>
          <cell r="F42">
            <v>0.33100000000000002</v>
          </cell>
        </row>
        <row r="43">
          <cell r="E43">
            <v>2.4608598969755703E-3</v>
          </cell>
          <cell r="F43">
            <v>0.496</v>
          </cell>
        </row>
        <row r="44">
          <cell r="E44">
            <v>3.2811465293007603E-3</v>
          </cell>
          <cell r="F44">
            <v>0.67500000000000004</v>
          </cell>
        </row>
        <row r="45">
          <cell r="E45">
            <v>4.1014331616259503E-3</v>
          </cell>
          <cell r="F45">
            <v>0.86799999999999999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25"/>
  <sheetViews>
    <sheetView showGridLines="0" topLeftCell="A85" zoomScaleNormal="100" workbookViewId="0">
      <selection activeCell="H21" sqref="H21"/>
    </sheetView>
  </sheetViews>
  <sheetFormatPr baseColWidth="10" defaultColWidth="11.5" defaultRowHeight="23.25" customHeight="1" x14ac:dyDescent="0.15"/>
  <cols>
    <col min="1" max="1" width="24.83203125" style="1" customWidth="1"/>
    <col min="2" max="2" width="33.1640625" style="1" customWidth="1"/>
    <col min="3" max="3" width="14.5" style="1" customWidth="1"/>
    <col min="4" max="8" width="12.6640625" style="1" customWidth="1"/>
    <col min="9" max="9" width="15" style="1" customWidth="1"/>
    <col min="10" max="16384" width="11.5" style="1"/>
  </cols>
  <sheetData>
    <row r="1" spans="1:20" ht="21" customHeight="1" x14ac:dyDescent="0.2">
      <c r="A1" s="3" t="s">
        <v>16</v>
      </c>
      <c r="E1" s="26" t="s">
        <v>15</v>
      </c>
      <c r="F1" s="27">
        <v>45792</v>
      </c>
    </row>
    <row r="2" spans="1:20" ht="15" customHeight="1" x14ac:dyDescent="0.2">
      <c r="A2" s="26" t="s">
        <v>0</v>
      </c>
      <c r="B2" s="28" t="s">
        <v>65</v>
      </c>
      <c r="C2" s="28"/>
      <c r="D2" s="28"/>
      <c r="E2" s="26" t="s">
        <v>7</v>
      </c>
      <c r="F2" s="29" t="s">
        <v>66</v>
      </c>
    </row>
    <row r="3" spans="1:20" ht="15" customHeight="1" x14ac:dyDescent="0.2">
      <c r="A3" s="26" t="s">
        <v>1</v>
      </c>
      <c r="B3" s="28" t="s">
        <v>67</v>
      </c>
      <c r="C3" s="28"/>
      <c r="D3" s="28"/>
      <c r="E3"/>
      <c r="F3"/>
    </row>
    <row r="4" spans="1:20" ht="15" customHeight="1" x14ac:dyDescent="0.15">
      <c r="A4" s="2"/>
    </row>
    <row r="5" spans="1:20" ht="15" customHeight="1" x14ac:dyDescent="0.15">
      <c r="A5" s="2" t="s">
        <v>2</v>
      </c>
    </row>
    <row r="6" spans="1:20" ht="119" customHeight="1" x14ac:dyDescent="0.15"/>
    <row r="7" spans="1:20" ht="15" customHeight="1" x14ac:dyDescent="0.15">
      <c r="B7" s="30"/>
      <c r="C7" s="30"/>
      <c r="D7" s="30"/>
      <c r="E7" s="30"/>
      <c r="F7" s="30"/>
      <c r="G7" s="30"/>
      <c r="H7" s="30"/>
    </row>
    <row r="8" spans="1:20" s="2" customFormat="1" ht="15" customHeight="1" x14ac:dyDescent="0.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2" customFormat="1" ht="15" customHeight="1" x14ac:dyDescent="0.15">
      <c r="B9" s="2" t="s">
        <v>36</v>
      </c>
      <c r="F9" s="1"/>
      <c r="H9" s="1">
        <v>5</v>
      </c>
      <c r="I9" s="1" t="s">
        <v>68</v>
      </c>
      <c r="J9" s="1"/>
    </row>
    <row r="10" spans="1:20" ht="15" customHeight="1" x14ac:dyDescent="0.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ht="15" customHeight="1" x14ac:dyDescent="0.15">
      <c r="A11" s="2" t="s">
        <v>23</v>
      </c>
      <c r="E11" s="1">
        <v>12393</v>
      </c>
      <c r="F11" s="1" t="s">
        <v>69</v>
      </c>
    </row>
    <row r="12" spans="1:20" ht="15" customHeight="1" x14ac:dyDescent="0.15"/>
    <row r="13" spans="1:20" ht="15" customHeight="1" x14ac:dyDescent="0.15">
      <c r="A13" s="2" t="s">
        <v>24</v>
      </c>
      <c r="E13" s="1">
        <v>144</v>
      </c>
      <c r="F13" s="1" t="s">
        <v>69</v>
      </c>
    </row>
    <row r="14" spans="1:20" ht="15" customHeight="1" x14ac:dyDescent="0.15">
      <c r="A14" s="2"/>
    </row>
    <row r="15" spans="1:20" ht="15" customHeight="1" x14ac:dyDescent="0.15">
      <c r="A15" s="2" t="s">
        <v>25</v>
      </c>
    </row>
    <row r="16" spans="1:20" ht="15" customHeight="1" x14ac:dyDescent="0.15">
      <c r="A16" s="2"/>
    </row>
    <row r="17" spans="1:10" ht="15" customHeight="1" x14ac:dyDescent="0.15">
      <c r="A17" s="2"/>
      <c r="H17" s="1" t="s">
        <v>70</v>
      </c>
    </row>
    <row r="18" spans="1:10" ht="15" customHeight="1" x14ac:dyDescent="0.2">
      <c r="H18" s="31" t="s">
        <v>71</v>
      </c>
      <c r="I18" s="31">
        <v>392.14</v>
      </c>
    </row>
    <row r="19" spans="1:10" ht="15" customHeight="1" x14ac:dyDescent="0.2">
      <c r="H19" s="31" t="s">
        <v>72</v>
      </c>
      <c r="I19" s="31">
        <v>55.844999999999999</v>
      </c>
    </row>
    <row r="20" spans="1:10" ht="15" customHeight="1" x14ac:dyDescent="0.15"/>
    <row r="21" spans="1:10" ht="15" customHeight="1" x14ac:dyDescent="0.15">
      <c r="C21" s="4"/>
      <c r="D21" s="4"/>
      <c r="H21" s="1" t="s">
        <v>73</v>
      </c>
    </row>
    <row r="22" spans="1:10" ht="15" customHeight="1" x14ac:dyDescent="0.15">
      <c r="H22" s="1" t="s">
        <v>74</v>
      </c>
      <c r="J22" s="32">
        <f>E13*I19/I18</f>
        <v>20.507165808129752</v>
      </c>
    </row>
    <row r="23" spans="1:10" ht="15" customHeight="1" x14ac:dyDescent="0.15">
      <c r="H23" s="33" t="s">
        <v>75</v>
      </c>
      <c r="J23" s="34">
        <f>J22/500</f>
        <v>4.1014331616259503E-2</v>
      </c>
    </row>
    <row r="24" spans="1:10" ht="15" customHeight="1" x14ac:dyDescent="0.15"/>
    <row r="25" spans="1:10" ht="15" customHeight="1" x14ac:dyDescent="0.15"/>
    <row r="26" spans="1:10" ht="15" customHeight="1" x14ac:dyDescent="0.15"/>
    <row r="27" spans="1:10" ht="15" customHeight="1" x14ac:dyDescent="0.15"/>
    <row r="28" spans="1:10" ht="15" customHeight="1" x14ac:dyDescent="0.15"/>
    <row r="29" spans="1:10" ht="15" customHeight="1" x14ac:dyDescent="0.15"/>
    <row r="30" spans="1:10" ht="15" customHeight="1" x14ac:dyDescent="0.15">
      <c r="A30" s="2" t="s">
        <v>26</v>
      </c>
      <c r="B30" s="2"/>
      <c r="C30" s="2"/>
      <c r="D30" s="2"/>
      <c r="E30" s="2"/>
      <c r="F30" s="35">
        <f>J23*25/50</f>
        <v>2.0507165808129751E-2</v>
      </c>
      <c r="G30" s="1" t="s">
        <v>76</v>
      </c>
    </row>
    <row r="31" spans="1:10" ht="15" customHeight="1" x14ac:dyDescent="0.15"/>
    <row r="32" spans="1:10" ht="15" customHeight="1" x14ac:dyDescent="0.15"/>
    <row r="33" spans="1:13" ht="15" customHeight="1" x14ac:dyDescent="0.15">
      <c r="A33" s="2" t="s">
        <v>34</v>
      </c>
      <c r="F33" s="1">
        <f>5*10^(-3)/100</f>
        <v>5.0000000000000002E-5</v>
      </c>
      <c r="G33" s="1" t="s">
        <v>77</v>
      </c>
      <c r="H33" s="1" t="s">
        <v>78</v>
      </c>
    </row>
    <row r="34" spans="1:13" ht="15" customHeight="1" x14ac:dyDescent="0.15">
      <c r="A34" s="2"/>
    </row>
    <row r="35" spans="1:13" ht="15" customHeight="1" x14ac:dyDescent="0.15"/>
    <row r="36" spans="1:13" ht="15" customHeight="1" x14ac:dyDescent="0.15">
      <c r="A36" s="2" t="s">
        <v>3</v>
      </c>
      <c r="F36" s="1" t="s">
        <v>79</v>
      </c>
    </row>
    <row r="37" spans="1:13" ht="15" customHeight="1" x14ac:dyDescent="0.15"/>
    <row r="38" spans="1:13" ht="15" customHeight="1" x14ac:dyDescent="0.15">
      <c r="A38" s="2" t="s">
        <v>27</v>
      </c>
    </row>
    <row r="39" spans="1:13" ht="30" customHeight="1" x14ac:dyDescent="0.15"/>
    <row r="40" spans="1:13" ht="40" customHeight="1" x14ac:dyDescent="0.2">
      <c r="C40" s="10" t="s">
        <v>6</v>
      </c>
      <c r="D40" s="10" t="s">
        <v>5</v>
      </c>
      <c r="E40" s="10" t="s">
        <v>33</v>
      </c>
      <c r="F40" s="10" t="s">
        <v>4</v>
      </c>
      <c r="M40" s="36"/>
    </row>
    <row r="41" spans="1:13" ht="15" customHeight="1" x14ac:dyDescent="0.2">
      <c r="C41" s="37">
        <v>1</v>
      </c>
      <c r="D41" s="38">
        <v>1</v>
      </c>
      <c r="E41" s="39">
        <f>C41*$F$30/25</f>
        <v>8.2028663232519008E-4</v>
      </c>
      <c r="F41" s="40">
        <v>0.156</v>
      </c>
    </row>
    <row r="42" spans="1:13" ht="15" customHeight="1" x14ac:dyDescent="0.2">
      <c r="C42" s="37">
        <v>2</v>
      </c>
      <c r="D42" s="38">
        <v>1</v>
      </c>
      <c r="E42" s="41">
        <f>$F$30*C42/25</f>
        <v>1.6405732646503802E-3</v>
      </c>
      <c r="F42" s="40">
        <v>0.33100000000000002</v>
      </c>
    </row>
    <row r="43" spans="1:13" ht="15" customHeight="1" x14ac:dyDescent="0.2">
      <c r="C43" s="37">
        <v>3</v>
      </c>
      <c r="D43" s="38">
        <v>1</v>
      </c>
      <c r="E43" s="41">
        <f>$F$30*C43/25</f>
        <v>2.4608598969755703E-3</v>
      </c>
      <c r="F43" s="40">
        <v>0.496</v>
      </c>
    </row>
    <row r="44" spans="1:13" ht="15" customHeight="1" x14ac:dyDescent="0.2">
      <c r="C44" s="37">
        <v>4</v>
      </c>
      <c r="D44" s="38">
        <v>1</v>
      </c>
      <c r="E44" s="41">
        <f>$F$30*C44/25</f>
        <v>3.2811465293007603E-3</v>
      </c>
      <c r="F44" s="40">
        <v>0.67500000000000004</v>
      </c>
    </row>
    <row r="45" spans="1:13" ht="15" customHeight="1" x14ac:dyDescent="0.2">
      <c r="C45" s="37">
        <v>5</v>
      </c>
      <c r="D45" s="38">
        <v>1</v>
      </c>
      <c r="E45" s="41">
        <f>$F$30*C45/25</f>
        <v>4.1014331616259503E-3</v>
      </c>
      <c r="F45" s="40">
        <v>0.86799999999999999</v>
      </c>
    </row>
    <row r="46" spans="1:13" ht="15" customHeight="1" x14ac:dyDescent="0.15"/>
    <row r="47" spans="1:13" ht="15" customHeight="1" x14ac:dyDescent="0.15">
      <c r="A47" s="2" t="s">
        <v>14</v>
      </c>
    </row>
    <row r="48" spans="1:13" ht="15" customHeight="1" x14ac:dyDescent="0.15"/>
    <row r="49" spans="1:6" ht="15" customHeight="1" x14ac:dyDescent="0.15">
      <c r="A49" s="2"/>
    </row>
    <row r="50" spans="1:6" ht="15" customHeight="1" x14ac:dyDescent="0.15"/>
    <row r="51" spans="1:6" ht="15" customHeight="1" x14ac:dyDescent="0.15"/>
    <row r="52" spans="1:6" ht="15" customHeight="1" x14ac:dyDescent="0.15"/>
    <row r="53" spans="1:6" ht="15" customHeight="1" x14ac:dyDescent="0.15">
      <c r="C53" s="4"/>
      <c r="D53" s="4"/>
    </row>
    <row r="54" spans="1:6" ht="15" customHeight="1" x14ac:dyDescent="0.15"/>
    <row r="55" spans="1:6" ht="15" customHeight="1" x14ac:dyDescent="0.15"/>
    <row r="56" spans="1:6" ht="15" customHeight="1" x14ac:dyDescent="0.15"/>
    <row r="57" spans="1:6" ht="15" customHeight="1" x14ac:dyDescent="0.15"/>
    <row r="58" spans="1:6" ht="15" customHeight="1" x14ac:dyDescent="0.15"/>
    <row r="59" spans="1:6" ht="15" customHeight="1" x14ac:dyDescent="0.15"/>
    <row r="60" spans="1:6" ht="15" customHeight="1" x14ac:dyDescent="0.15"/>
    <row r="61" spans="1:6" ht="15" customHeight="1" x14ac:dyDescent="0.15">
      <c r="A61" s="2" t="s">
        <v>8</v>
      </c>
    </row>
    <row r="62" spans="1:6" ht="15" customHeight="1" x14ac:dyDescent="0.15">
      <c r="A62" s="2" t="s">
        <v>10</v>
      </c>
      <c r="E62" s="42">
        <f>25*E43/(F33*10^3)</f>
        <v>1.2304299484877852</v>
      </c>
      <c r="F62" s="1" t="s">
        <v>80</v>
      </c>
    </row>
    <row r="63" spans="1:6" ht="15" customHeight="1" x14ac:dyDescent="0.15"/>
    <row r="64" spans="1:6" ht="15" customHeight="1" x14ac:dyDescent="0.15">
      <c r="A64" s="2" t="s">
        <v>9</v>
      </c>
      <c r="E64" s="43">
        <v>1</v>
      </c>
      <c r="F64" s="1" t="s">
        <v>80</v>
      </c>
    </row>
    <row r="65" spans="1:11" ht="15" customHeight="1" x14ac:dyDescent="0.15">
      <c r="E65" s="43"/>
    </row>
    <row r="66" spans="1:11" ht="15" customHeight="1" x14ac:dyDescent="0.15">
      <c r="A66" s="2" t="s">
        <v>11</v>
      </c>
      <c r="E66" s="43">
        <v>2.3E-2</v>
      </c>
    </row>
    <row r="67" spans="1:11" ht="15" customHeight="1" x14ac:dyDescent="0.15">
      <c r="E67" s="43"/>
    </row>
    <row r="68" spans="1:11" ht="15" customHeight="1" x14ac:dyDescent="0.15">
      <c r="A68" s="2" t="s">
        <v>12</v>
      </c>
      <c r="E68" s="43">
        <v>0.45600000000000002</v>
      </c>
    </row>
    <row r="69" spans="1:11" ht="15" customHeight="1" x14ac:dyDescent="0.15">
      <c r="E69" s="43"/>
    </row>
    <row r="70" spans="1:11" ht="15" customHeight="1" x14ac:dyDescent="0.15">
      <c r="A70" s="2" t="s">
        <v>13</v>
      </c>
      <c r="B70" s="2"/>
      <c r="E70" s="43">
        <f>E68-E66</f>
        <v>0.433</v>
      </c>
    </row>
    <row r="71" spans="1:11" ht="15" customHeight="1" x14ac:dyDescent="0.15"/>
    <row r="72" spans="1:11" ht="15" customHeight="1" x14ac:dyDescent="0.15">
      <c r="A72" s="2" t="s">
        <v>28</v>
      </c>
    </row>
    <row r="73" spans="1:11" ht="15" customHeight="1" x14ac:dyDescent="0.15">
      <c r="H73" s="22" t="s">
        <v>81</v>
      </c>
      <c r="I73" s="44"/>
      <c r="J73" s="44"/>
      <c r="K73" s="23"/>
    </row>
    <row r="74" spans="1:11" ht="15" customHeight="1" x14ac:dyDescent="0.2">
      <c r="H74" s="45" t="s">
        <v>82</v>
      </c>
      <c r="I74" s="46" cm="1">
        <f t="array" ref="I74:J78">LINEST(F41:F45,E41:E45,1,1)</f>
        <v>215.53441569423305</v>
      </c>
      <c r="J74" s="47">
        <v>-2.5200000000000111E-2</v>
      </c>
      <c r="K74" s="48" t="s">
        <v>83</v>
      </c>
    </row>
    <row r="75" spans="1:11" ht="15" customHeight="1" x14ac:dyDescent="0.2">
      <c r="H75" s="45" t="s">
        <v>84</v>
      </c>
      <c r="I75" s="46">
        <v>3.4795600765272168</v>
      </c>
      <c r="J75" s="47">
        <v>9.4664319219721679E-3</v>
      </c>
      <c r="K75" s="48" t="s">
        <v>85</v>
      </c>
    </row>
    <row r="76" spans="1:11" ht="15" customHeight="1" x14ac:dyDescent="0.2">
      <c r="H76" s="45" t="s">
        <v>86</v>
      </c>
      <c r="I76" s="47">
        <v>0.99921873701358077</v>
      </c>
      <c r="J76" s="47">
        <v>9.0258886912407098E-3</v>
      </c>
      <c r="K76" s="48" t="s">
        <v>87</v>
      </c>
    </row>
    <row r="77" spans="1:11" ht="15" customHeight="1" x14ac:dyDescent="0.2">
      <c r="H77" s="45" t="s">
        <v>88</v>
      </c>
      <c r="I77" s="46">
        <v>3836.936170212753</v>
      </c>
      <c r="J77" s="48">
        <v>3</v>
      </c>
      <c r="K77" s="48" t="s">
        <v>89</v>
      </c>
    </row>
    <row r="78" spans="1:11" ht="15" customHeight="1" x14ac:dyDescent="0.2">
      <c r="H78" s="45" t="s">
        <v>90</v>
      </c>
      <c r="I78" s="49">
        <v>0.31258240000000004</v>
      </c>
      <c r="J78" s="50">
        <v>2.4440000000000084E-4</v>
      </c>
      <c r="K78" s="48" t="s">
        <v>91</v>
      </c>
    </row>
    <row r="79" spans="1:11" ht="15" customHeight="1" x14ac:dyDescent="0.15"/>
    <row r="80" spans="1:11" ht="15" customHeight="1" x14ac:dyDescent="0.15"/>
    <row r="81" spans="1:11" ht="15" customHeight="1" x14ac:dyDescent="0.15"/>
    <row r="82" spans="1:11" ht="15" customHeight="1" x14ac:dyDescent="0.15"/>
    <row r="83" spans="1:11" ht="15" customHeight="1" x14ac:dyDescent="0.15"/>
    <row r="84" spans="1:11" ht="15" customHeight="1" x14ac:dyDescent="0.15"/>
    <row r="85" spans="1:11" ht="122" customHeight="1" x14ac:dyDescent="0.15"/>
    <row r="86" spans="1:11" ht="15" customHeight="1" x14ac:dyDescent="0.15"/>
    <row r="87" spans="1:11" ht="15" customHeight="1" x14ac:dyDescent="0.15"/>
    <row r="88" spans="1:11" ht="15" customHeight="1" x14ac:dyDescent="0.15">
      <c r="A88" s="2" t="s">
        <v>30</v>
      </c>
      <c r="G88" s="35">
        <f>(E70-J74)/I74</f>
        <v>2.1258785912409623E-3</v>
      </c>
      <c r="H88" s="1" t="s">
        <v>76</v>
      </c>
      <c r="J88" s="51" t="s">
        <v>92</v>
      </c>
      <c r="K88" s="52">
        <f>AVERAGE(F41:F45)</f>
        <v>0.50519999999999998</v>
      </c>
    </row>
    <row r="89" spans="1:11" ht="15" customHeight="1" x14ac:dyDescent="0.15">
      <c r="J89" s="51" t="s">
        <v>93</v>
      </c>
      <c r="K89" s="53">
        <f>VARPA(E41:E45)*5</f>
        <v>6.7287015917140157E-6</v>
      </c>
    </row>
    <row r="90" spans="1:11" ht="15" customHeight="1" x14ac:dyDescent="0.15">
      <c r="J90" s="51" t="s">
        <v>94</v>
      </c>
      <c r="K90" s="53">
        <f>J76/I74*SQRT(1+1/5+((E70-K88)^2)/(I74^2*K89))</f>
        <v>4.6191380379766698E-5</v>
      </c>
    </row>
    <row r="91" spans="1:11" ht="15" customHeight="1" x14ac:dyDescent="0.15">
      <c r="A91" s="2" t="s">
        <v>35</v>
      </c>
      <c r="G91" s="35">
        <f>K91*K90</f>
        <v>1.4700158782554295E-4</v>
      </c>
      <c r="H91" s="1" t="s">
        <v>76</v>
      </c>
      <c r="J91" s="51" t="s">
        <v>95</v>
      </c>
      <c r="K91" s="52">
        <f>_xlfn.T.INV.2T(0.05,J77)</f>
        <v>3.1824463052837091</v>
      </c>
    </row>
    <row r="92" spans="1:11" ht="15" customHeight="1" x14ac:dyDescent="0.15">
      <c r="A92" s="2"/>
    </row>
    <row r="93" spans="1:11" ht="15" customHeight="1" x14ac:dyDescent="0.15"/>
    <row r="94" spans="1:11" ht="15" customHeight="1" x14ac:dyDescent="0.15">
      <c r="A94" s="2" t="s">
        <v>96</v>
      </c>
      <c r="G94" s="54">
        <f>G88*25/E64*100</f>
        <v>5.3146964781024053</v>
      </c>
      <c r="H94" s="55" t="s">
        <v>97</v>
      </c>
      <c r="I94" s="54">
        <f>G91*25/E64*100</f>
        <v>0.36750396956385739</v>
      </c>
      <c r="J94" s="56" t="s">
        <v>98</v>
      </c>
    </row>
    <row r="95" spans="1:11" ht="15" customHeight="1" x14ac:dyDescent="0.15"/>
    <row r="96" spans="1:11" ht="15" customHeight="1" x14ac:dyDescent="0.15">
      <c r="A96" s="2"/>
    </row>
    <row r="97" spans="1:10" ht="15" customHeight="1" x14ac:dyDescent="0.15">
      <c r="A97" s="2" t="s">
        <v>39</v>
      </c>
    </row>
    <row r="98" spans="1:10" ht="15" customHeight="1" x14ac:dyDescent="0.15">
      <c r="A98" s="2"/>
    </row>
    <row r="99" spans="1:10" ht="15" customHeight="1" x14ac:dyDescent="0.2">
      <c r="A99" s="2"/>
      <c r="B99" s="57"/>
      <c r="C99" s="57"/>
      <c r="D99" s="57"/>
      <c r="E99" s="57"/>
      <c r="F99" s="57"/>
      <c r="G99" s="57"/>
      <c r="H99" s="57"/>
      <c r="I99" s="57"/>
      <c r="J99" s="26"/>
    </row>
    <row r="100" spans="1:10" ht="15" customHeight="1" x14ac:dyDescent="0.15">
      <c r="A100" s="2"/>
    </row>
    <row r="101" spans="1:10" ht="15" customHeight="1" x14ac:dyDescent="0.15"/>
    <row r="102" spans="1:10" ht="15" customHeight="1" x14ac:dyDescent="0.15">
      <c r="A102" s="2" t="s">
        <v>40</v>
      </c>
    </row>
    <row r="103" spans="1:10" ht="15" customHeight="1" x14ac:dyDescent="0.15">
      <c r="B103" s="2" t="s">
        <v>38</v>
      </c>
    </row>
    <row r="104" spans="1:10" ht="58" customHeight="1" x14ac:dyDescent="0.15">
      <c r="C104" s="58" t="s">
        <v>21</v>
      </c>
      <c r="D104" s="58" t="s">
        <v>17</v>
      </c>
      <c r="E104" s="58" t="s">
        <v>29</v>
      </c>
      <c r="F104" s="58" t="s">
        <v>18</v>
      </c>
      <c r="G104" s="58" t="s">
        <v>19</v>
      </c>
      <c r="H104" s="58" t="s">
        <v>20</v>
      </c>
    </row>
    <row r="105" spans="1:10" ht="15" customHeight="1" x14ac:dyDescent="0.15">
      <c r="C105" s="5" t="s">
        <v>66</v>
      </c>
      <c r="D105" s="59">
        <f>G94</f>
        <v>5.3146964781024053</v>
      </c>
      <c r="E105" s="59">
        <f>I94</f>
        <v>0.36750396956385739</v>
      </c>
      <c r="F105" s="60">
        <f>AVERAGE(D105:D112)</f>
        <v>5.3146964781024053</v>
      </c>
      <c r="G105" s="61" t="e">
        <f>STDEV(D105:D112)</f>
        <v>#DIV/0!</v>
      </c>
      <c r="H105" s="61" t="e">
        <f>G105/F105*100</f>
        <v>#DIV/0!</v>
      </c>
    </row>
    <row r="106" spans="1:10" ht="15" customHeight="1" x14ac:dyDescent="0.15">
      <c r="C106" s="5"/>
      <c r="D106" s="59"/>
      <c r="E106" s="59"/>
      <c r="F106" s="60"/>
      <c r="G106" s="61"/>
      <c r="H106" s="61"/>
    </row>
    <row r="107" spans="1:10" ht="15" customHeight="1" x14ac:dyDescent="0.15">
      <c r="C107" s="5"/>
      <c r="D107" s="59"/>
      <c r="E107" s="59"/>
      <c r="F107" s="60"/>
      <c r="G107" s="61"/>
      <c r="H107" s="61"/>
    </row>
    <row r="108" spans="1:10" ht="15" customHeight="1" x14ac:dyDescent="0.15">
      <c r="C108" s="5"/>
      <c r="D108" s="59"/>
      <c r="E108" s="59"/>
      <c r="F108" s="60"/>
      <c r="G108" s="61"/>
      <c r="H108" s="61"/>
    </row>
    <row r="109" spans="1:10" ht="15" customHeight="1" x14ac:dyDescent="0.15">
      <c r="C109" s="5"/>
      <c r="D109" s="5"/>
      <c r="E109" s="5"/>
      <c r="F109" s="60"/>
      <c r="G109" s="61"/>
      <c r="H109" s="61"/>
    </row>
    <row r="110" spans="1:10" ht="15" customHeight="1" x14ac:dyDescent="0.15">
      <c r="C110" s="5"/>
      <c r="D110" s="5"/>
      <c r="E110" s="5"/>
      <c r="F110" s="60"/>
      <c r="G110" s="61"/>
      <c r="H110" s="61"/>
    </row>
    <row r="111" spans="1:10" ht="15" customHeight="1" x14ac:dyDescent="0.15">
      <c r="C111" s="5"/>
      <c r="D111" s="5"/>
      <c r="E111" s="5"/>
      <c r="F111" s="60"/>
      <c r="G111" s="61"/>
      <c r="H111" s="61"/>
    </row>
    <row r="112" spans="1:10" ht="15" customHeight="1" x14ac:dyDescent="0.15">
      <c r="C112" s="5"/>
      <c r="D112" s="5"/>
      <c r="E112" s="5"/>
      <c r="F112" s="60"/>
      <c r="G112" s="61"/>
      <c r="H112" s="61"/>
    </row>
    <row r="114" spans="1:20" s="2" customFormat="1" ht="23.2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23.25" customHeight="1" x14ac:dyDescent="0.15">
      <c r="A115" s="2" t="s">
        <v>41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7" spans="1:20" ht="23.25" customHeight="1" x14ac:dyDescent="0.15">
      <c r="B117" s="30"/>
      <c r="C117" s="30"/>
      <c r="D117" s="30"/>
      <c r="E117" s="30"/>
      <c r="F117" s="30"/>
      <c r="G117" s="30"/>
      <c r="H117" s="30"/>
    </row>
    <row r="118" spans="1:20" ht="23.25" customHeight="1" x14ac:dyDescent="0.25">
      <c r="B118" s="30"/>
      <c r="C118" s="30"/>
      <c r="D118" s="30"/>
      <c r="E118" s="30"/>
      <c r="F118" s="30"/>
      <c r="G118" s="30"/>
      <c r="H118" s="30"/>
      <c r="J118" s="62"/>
    </row>
    <row r="119" spans="1:20" ht="23.25" customHeight="1" x14ac:dyDescent="0.15">
      <c r="B119" s="30"/>
      <c r="C119" s="30"/>
      <c r="D119" s="30"/>
      <c r="E119" s="30"/>
      <c r="F119" s="30"/>
      <c r="G119" s="30"/>
      <c r="H119" s="30"/>
    </row>
    <row r="120" spans="1:20" ht="23.25" customHeight="1" x14ac:dyDescent="0.15">
      <c r="B120" s="30"/>
      <c r="C120" s="30"/>
      <c r="D120" s="30"/>
      <c r="E120" s="30"/>
      <c r="F120" s="30"/>
      <c r="G120" s="30"/>
      <c r="H120" s="30"/>
    </row>
    <row r="121" spans="1:20" ht="23.25" customHeight="1" x14ac:dyDescent="0.15">
      <c r="B121" s="30"/>
      <c r="C121" s="30"/>
      <c r="D121" s="30"/>
      <c r="E121" s="30"/>
      <c r="F121" s="30"/>
      <c r="G121" s="30"/>
      <c r="H121" s="30"/>
    </row>
    <row r="122" spans="1:20" ht="23.25" customHeight="1" x14ac:dyDescent="0.15">
      <c r="B122" s="30"/>
      <c r="C122" s="30"/>
      <c r="D122" s="30"/>
      <c r="E122" s="30"/>
      <c r="F122" s="30"/>
      <c r="G122" s="30"/>
      <c r="H122" s="30"/>
    </row>
    <row r="123" spans="1:20" s="9" customFormat="1" ht="23.2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s="9" customFormat="1" ht="16.5" customHeight="1" x14ac:dyDescent="0.15">
      <c r="B124" s="9" t="s">
        <v>31</v>
      </c>
    </row>
    <row r="125" spans="1:20" ht="23.25" customHeight="1" x14ac:dyDescent="0.15">
      <c r="A125" s="9"/>
      <c r="B125" s="9" t="s">
        <v>32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</row>
  </sheetData>
  <mergeCells count="7">
    <mergeCell ref="F105:F112"/>
    <mergeCell ref="G105:G112"/>
    <mergeCell ref="H105:H112"/>
    <mergeCell ref="B2:D2"/>
    <mergeCell ref="B3:D3"/>
    <mergeCell ref="H73:K73"/>
    <mergeCell ref="B99:I99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83" fitToHeight="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10"/>
  <sheetViews>
    <sheetView showGridLines="0" tabSelected="1" zoomScaleNormal="100" workbookViewId="0">
      <selection activeCell="I20" sqref="I20"/>
    </sheetView>
  </sheetViews>
  <sheetFormatPr baseColWidth="10" defaultColWidth="11.5" defaultRowHeight="23.25" customHeight="1" x14ac:dyDescent="0.15"/>
  <cols>
    <col min="1" max="1" width="20.1640625" style="1" customWidth="1"/>
    <col min="2" max="2" width="21" style="1" customWidth="1"/>
    <col min="3" max="3" width="22" style="1" customWidth="1"/>
    <col min="4" max="8" width="12.6640625" style="1" customWidth="1"/>
    <col min="9" max="9" width="15" style="1" customWidth="1"/>
    <col min="10" max="16384" width="11.5" style="1"/>
  </cols>
  <sheetData>
    <row r="1" spans="1:6" ht="21" customHeight="1" x14ac:dyDescent="0.2">
      <c r="A1" s="3" t="s">
        <v>16</v>
      </c>
      <c r="E1" s="26" t="s">
        <v>15</v>
      </c>
      <c r="F1" s="27">
        <v>45796</v>
      </c>
    </row>
    <row r="2" spans="1:6" ht="15" customHeight="1" x14ac:dyDescent="0.2">
      <c r="A2" s="26" t="s">
        <v>0</v>
      </c>
      <c r="B2" s="28" t="s">
        <v>65</v>
      </c>
      <c r="C2" s="28"/>
      <c r="D2" s="28"/>
      <c r="E2" s="26" t="s">
        <v>7</v>
      </c>
      <c r="F2" s="29" t="s">
        <v>66</v>
      </c>
    </row>
    <row r="3" spans="1:6" ht="15" customHeight="1" x14ac:dyDescent="0.2">
      <c r="A3" s="26" t="s">
        <v>1</v>
      </c>
      <c r="B3" s="28" t="s">
        <v>67</v>
      </c>
      <c r="C3" s="28"/>
      <c r="D3" s="28"/>
      <c r="E3"/>
      <c r="F3"/>
    </row>
    <row r="4" spans="1:6" ht="15" customHeight="1" x14ac:dyDescent="0.15">
      <c r="A4" s="2"/>
    </row>
    <row r="5" spans="1:6" ht="15" customHeight="1" x14ac:dyDescent="0.15">
      <c r="A5" s="2" t="s">
        <v>53</v>
      </c>
    </row>
    <row r="6" spans="1:6" ht="15" customHeight="1" x14ac:dyDescent="0.15">
      <c r="A6" s="2"/>
    </row>
    <row r="7" spans="1:6" ht="264" customHeight="1" x14ac:dyDescent="0.15">
      <c r="A7" s="2"/>
    </row>
    <row r="8" spans="1:6" ht="15" customHeight="1" x14ac:dyDescent="0.15">
      <c r="A8" s="2" t="s">
        <v>61</v>
      </c>
    </row>
    <row r="9" spans="1:6" ht="15" customHeight="1" x14ac:dyDescent="0.15">
      <c r="A9" s="2"/>
    </row>
    <row r="10" spans="1:6" ht="15" customHeight="1" x14ac:dyDescent="0.15">
      <c r="A10" s="2" t="s">
        <v>62</v>
      </c>
    </row>
    <row r="11" spans="1:6" ht="15" customHeight="1" x14ac:dyDescent="0.15">
      <c r="A11" s="2"/>
    </row>
    <row r="12" spans="1:6" ht="15" customHeight="1" x14ac:dyDescent="0.15">
      <c r="A12" s="2"/>
    </row>
    <row r="13" spans="1:6" ht="15" customHeight="1" x14ac:dyDescent="0.15">
      <c r="A13" s="2"/>
    </row>
    <row r="14" spans="1:6" ht="15" customHeight="1" x14ac:dyDescent="0.15">
      <c r="A14" s="2"/>
    </row>
    <row r="15" spans="1:6" ht="15" customHeight="1" x14ac:dyDescent="0.15">
      <c r="A15" s="2"/>
    </row>
    <row r="16" spans="1:6" ht="15" customHeight="1" x14ac:dyDescent="0.15">
      <c r="A16" s="2"/>
    </row>
    <row r="17" spans="1:10" ht="15" customHeight="1" x14ac:dyDescent="0.15">
      <c r="A17" s="2"/>
    </row>
    <row r="18" spans="1:10" ht="15" customHeight="1" x14ac:dyDescent="0.15">
      <c r="A18" s="2"/>
    </row>
    <row r="19" spans="1:10" ht="15" customHeight="1" x14ac:dyDescent="0.15">
      <c r="A19" s="2"/>
    </row>
    <row r="20" spans="1:10" ht="15" customHeight="1" x14ac:dyDescent="0.15">
      <c r="A20" s="2"/>
    </row>
    <row r="21" spans="1:10" ht="15" customHeight="1" x14ac:dyDescent="0.15">
      <c r="A21" s="2"/>
    </row>
    <row r="22" spans="1:10" ht="15" customHeight="1" x14ac:dyDescent="0.15">
      <c r="A22" s="2"/>
    </row>
    <row r="23" spans="1:10" ht="15" customHeight="1" x14ac:dyDescent="0.15"/>
    <row r="24" spans="1:10" ht="15" customHeight="1" x14ac:dyDescent="0.15">
      <c r="A24" s="2" t="s">
        <v>63</v>
      </c>
    </row>
    <row r="25" spans="1:10" ht="15" customHeight="1" x14ac:dyDescent="0.15">
      <c r="A25" s="2"/>
    </row>
    <row r="26" spans="1:10" ht="15" customHeight="1" x14ac:dyDescent="0.15"/>
    <row r="27" spans="1:10" ht="15" customHeight="1" x14ac:dyDescent="0.15">
      <c r="A27" s="2" t="s">
        <v>64</v>
      </c>
    </row>
    <row r="28" spans="1:10" ht="15" customHeight="1" x14ac:dyDescent="0.15"/>
    <row r="29" spans="1:10" ht="23.25" customHeight="1" x14ac:dyDescent="0.15">
      <c r="C29" s="15" t="s">
        <v>44</v>
      </c>
      <c r="D29" s="15" t="s">
        <v>42</v>
      </c>
      <c r="E29" s="15" t="s">
        <v>43</v>
      </c>
      <c r="G29" s="22" t="s">
        <v>54</v>
      </c>
      <c r="H29" s="23"/>
      <c r="I29" s="15" t="s">
        <v>42</v>
      </c>
      <c r="J29" s="15" t="s">
        <v>43</v>
      </c>
    </row>
    <row r="30" spans="1:10" ht="23.25" customHeight="1" x14ac:dyDescent="0.15">
      <c r="C30" s="14"/>
      <c r="D30" s="14"/>
      <c r="E30" s="14"/>
      <c r="G30" s="24"/>
      <c r="H30" s="25"/>
      <c r="I30" s="14"/>
      <c r="J30" s="14"/>
    </row>
    <row r="31" spans="1:10" ht="23.25" customHeight="1" x14ac:dyDescent="0.15">
      <c r="C31" s="14"/>
      <c r="D31" s="14"/>
      <c r="E31" s="14"/>
      <c r="G31" s="24"/>
      <c r="H31" s="25"/>
      <c r="I31" s="14"/>
      <c r="J31" s="14"/>
    </row>
    <row r="32" spans="1:10" ht="23.25" customHeight="1" x14ac:dyDescent="0.15">
      <c r="C32" s="14"/>
      <c r="D32" s="14"/>
      <c r="E32" s="14"/>
      <c r="G32" s="24"/>
      <c r="H32" s="25"/>
      <c r="I32" s="14"/>
      <c r="J32" s="14"/>
    </row>
    <row r="33" spans="1:10" ht="23.25" customHeight="1" x14ac:dyDescent="0.15">
      <c r="C33" s="14"/>
      <c r="D33" s="14"/>
      <c r="E33" s="14"/>
      <c r="G33" s="24"/>
      <c r="H33" s="25"/>
      <c r="I33" s="14"/>
      <c r="J33" s="14"/>
    </row>
    <row r="34" spans="1:10" ht="23.25" customHeight="1" x14ac:dyDescent="0.15">
      <c r="C34" s="14"/>
      <c r="D34" s="14"/>
      <c r="E34" s="14"/>
      <c r="G34" s="24"/>
      <c r="H34" s="25"/>
      <c r="I34" s="14"/>
      <c r="J34" s="14"/>
    </row>
    <row r="35" spans="1:10" ht="23.25" customHeight="1" x14ac:dyDescent="0.15">
      <c r="D35" s="4"/>
    </row>
    <row r="36" spans="1:10" ht="15" customHeight="1" x14ac:dyDescent="0.15">
      <c r="A36" s="2" t="s">
        <v>55</v>
      </c>
    </row>
    <row r="37" spans="1:10" ht="15" customHeight="1" x14ac:dyDescent="0.15"/>
    <row r="38" spans="1:10" ht="15" customHeight="1" x14ac:dyDescent="0.15"/>
    <row r="39" spans="1:10" ht="15" customHeight="1" x14ac:dyDescent="0.15"/>
    <row r="40" spans="1:10" ht="15" customHeight="1" x14ac:dyDescent="0.15"/>
    <row r="41" spans="1:10" ht="15" customHeight="1" x14ac:dyDescent="0.15"/>
    <row r="42" spans="1:10" ht="15" customHeight="1" x14ac:dyDescent="0.15"/>
    <row r="43" spans="1:10" ht="15" customHeight="1" x14ac:dyDescent="0.15"/>
    <row r="44" spans="1:10" ht="15" customHeight="1" x14ac:dyDescent="0.15"/>
    <row r="45" spans="1:10" ht="15" customHeight="1" x14ac:dyDescent="0.15"/>
    <row r="46" spans="1:10" ht="15" customHeight="1" x14ac:dyDescent="0.15"/>
    <row r="47" spans="1:10" ht="15" customHeight="1" x14ac:dyDescent="0.15"/>
    <row r="48" spans="1:10" ht="15" customHeight="1" x14ac:dyDescent="0.15"/>
    <row r="49" spans="1:2" ht="15" customHeight="1" x14ac:dyDescent="0.15"/>
    <row r="50" spans="1:2" ht="15" customHeight="1" x14ac:dyDescent="0.15"/>
    <row r="51" spans="1:2" ht="15" customHeight="1" x14ac:dyDescent="0.15"/>
    <row r="52" spans="1:2" ht="15" customHeight="1" x14ac:dyDescent="0.15">
      <c r="A52" s="2" t="s">
        <v>45</v>
      </c>
    </row>
    <row r="53" spans="1:2" ht="15" customHeight="1" x14ac:dyDescent="0.15">
      <c r="B53" s="2" t="s">
        <v>56</v>
      </c>
    </row>
    <row r="54" spans="1:2" ht="15" customHeight="1" x14ac:dyDescent="0.15"/>
    <row r="55" spans="1:2" ht="15" customHeight="1" x14ac:dyDescent="0.15">
      <c r="A55" s="2" t="s">
        <v>59</v>
      </c>
    </row>
    <row r="56" spans="1:2" ht="15" customHeight="1" x14ac:dyDescent="0.15">
      <c r="A56" s="2"/>
      <c r="B56" s="2" t="s">
        <v>60</v>
      </c>
    </row>
    <row r="57" spans="1:2" ht="15" customHeight="1" x14ac:dyDescent="0.15"/>
    <row r="58" spans="1:2" ht="15" customHeight="1" x14ac:dyDescent="0.15">
      <c r="A58" s="2" t="s">
        <v>57</v>
      </c>
    </row>
    <row r="59" spans="1:2" ht="15" customHeight="1" x14ac:dyDescent="0.15">
      <c r="B59" s="2" t="s">
        <v>58</v>
      </c>
    </row>
    <row r="60" spans="1:2" ht="15" customHeight="1" x14ac:dyDescent="0.15">
      <c r="A60" s="2"/>
    </row>
    <row r="61" spans="1:2" ht="15" customHeight="1" x14ac:dyDescent="0.15">
      <c r="A61" s="2" t="s">
        <v>46</v>
      </c>
    </row>
    <row r="62" spans="1:2" ht="15" customHeight="1" x14ac:dyDescent="0.15">
      <c r="A62" s="2"/>
    </row>
    <row r="63" spans="1:2" ht="15" customHeight="1" x14ac:dyDescent="0.15">
      <c r="A63" s="2"/>
    </row>
    <row r="64" spans="1:2" ht="15" customHeight="1" x14ac:dyDescent="0.15">
      <c r="A64" s="2"/>
    </row>
    <row r="65" spans="1:8" ht="15" customHeight="1" x14ac:dyDescent="0.15">
      <c r="A65" s="2"/>
    </row>
    <row r="66" spans="1:8" ht="15" customHeight="1" x14ac:dyDescent="0.15"/>
    <row r="67" spans="1:8" ht="15" customHeight="1" x14ac:dyDescent="0.15">
      <c r="A67" s="2" t="s">
        <v>48</v>
      </c>
    </row>
    <row r="68" spans="1:8" ht="15" customHeight="1" x14ac:dyDescent="0.15">
      <c r="B68" s="2" t="s">
        <v>38</v>
      </c>
    </row>
    <row r="69" spans="1:8" ht="15" customHeight="1" thickBot="1" x14ac:dyDescent="0.2">
      <c r="B69" s="2"/>
    </row>
    <row r="70" spans="1:8" ht="58" customHeight="1" x14ac:dyDescent="0.15">
      <c r="C70" s="6" t="s">
        <v>21</v>
      </c>
      <c r="D70" s="7" t="s">
        <v>17</v>
      </c>
      <c r="E70" s="7" t="s">
        <v>29</v>
      </c>
      <c r="F70" s="7" t="s">
        <v>18</v>
      </c>
      <c r="G70" s="7" t="s">
        <v>19</v>
      </c>
      <c r="H70" s="8" t="s">
        <v>20</v>
      </c>
    </row>
    <row r="71" spans="1:8" ht="15" customHeight="1" x14ac:dyDescent="0.15">
      <c r="C71" s="12" t="s">
        <v>22</v>
      </c>
      <c r="D71" s="10"/>
      <c r="E71" s="10"/>
      <c r="F71" s="20"/>
      <c r="G71" s="16"/>
      <c r="H71" s="18"/>
    </row>
    <row r="72" spans="1:8" ht="15" customHeight="1" x14ac:dyDescent="0.15">
      <c r="C72" s="12"/>
      <c r="D72" s="10"/>
      <c r="E72" s="10"/>
      <c r="F72" s="20"/>
      <c r="G72" s="16"/>
      <c r="H72" s="18"/>
    </row>
    <row r="73" spans="1:8" ht="15" customHeight="1" x14ac:dyDescent="0.15">
      <c r="C73" s="12"/>
      <c r="D73" s="10"/>
      <c r="E73" s="10"/>
      <c r="F73" s="20"/>
      <c r="G73" s="16"/>
      <c r="H73" s="18"/>
    </row>
    <row r="74" spans="1:8" ht="15" customHeight="1" x14ac:dyDescent="0.15">
      <c r="C74" s="12"/>
      <c r="D74" s="10"/>
      <c r="E74" s="10"/>
      <c r="F74" s="20"/>
      <c r="G74" s="16"/>
      <c r="H74" s="18"/>
    </row>
    <row r="75" spans="1:8" ht="15" customHeight="1" x14ac:dyDescent="0.15">
      <c r="C75" s="12"/>
      <c r="D75" s="10"/>
      <c r="E75" s="10"/>
      <c r="F75" s="20"/>
      <c r="G75" s="16"/>
      <c r="H75" s="18"/>
    </row>
    <row r="76" spans="1:8" ht="15" customHeight="1" x14ac:dyDescent="0.15">
      <c r="C76" s="12"/>
      <c r="D76" s="10"/>
      <c r="E76" s="10"/>
      <c r="F76" s="20"/>
      <c r="G76" s="16"/>
      <c r="H76" s="18"/>
    </row>
    <row r="77" spans="1:8" ht="15" customHeight="1" x14ac:dyDescent="0.15">
      <c r="C77" s="12"/>
      <c r="D77" s="10"/>
      <c r="E77" s="10"/>
      <c r="F77" s="20"/>
      <c r="G77" s="16"/>
      <c r="H77" s="18"/>
    </row>
    <row r="78" spans="1:8" ht="15" customHeight="1" thickBot="1" x14ac:dyDescent="0.2">
      <c r="C78" s="13"/>
      <c r="D78" s="11"/>
      <c r="E78" s="11"/>
      <c r="F78" s="21"/>
      <c r="G78" s="17"/>
      <c r="H78" s="19"/>
    </row>
    <row r="79" spans="1:8" ht="16.5" customHeight="1" x14ac:dyDescent="0.15"/>
    <row r="80" spans="1:8" s="2" customFormat="1" ht="16" customHeight="1" x14ac:dyDescent="0.15">
      <c r="A80" s="2" t="s">
        <v>50</v>
      </c>
    </row>
    <row r="81" spans="1:3" ht="23.25" customHeight="1" x14ac:dyDescent="0.15">
      <c r="C81" s="2"/>
    </row>
    <row r="84" spans="1:3" ht="21" customHeight="1" x14ac:dyDescent="0.15"/>
    <row r="85" spans="1:3" s="2" customFormat="1" ht="21" customHeight="1" x14ac:dyDescent="0.15">
      <c r="A85" s="2" t="s">
        <v>49</v>
      </c>
    </row>
    <row r="86" spans="1:3" s="2" customFormat="1" ht="21" customHeight="1" x14ac:dyDescent="0.15">
      <c r="A86" s="2" t="s">
        <v>37</v>
      </c>
    </row>
    <row r="87" spans="1:3" s="2" customFormat="1" ht="21" customHeight="1" x14ac:dyDescent="0.15"/>
    <row r="88" spans="1:3" s="2" customFormat="1" ht="21" customHeight="1" x14ac:dyDescent="0.15"/>
    <row r="89" spans="1:3" s="2" customFormat="1" ht="21" customHeight="1" x14ac:dyDescent="0.15"/>
    <row r="90" spans="1:3" s="2" customFormat="1" ht="21" customHeight="1" x14ac:dyDescent="0.15"/>
    <row r="91" spans="1:3" s="2" customFormat="1" ht="21" customHeight="1" x14ac:dyDescent="0.15">
      <c r="A91" s="2" t="s">
        <v>51</v>
      </c>
    </row>
    <row r="92" spans="1:3" s="2" customFormat="1" ht="21" customHeight="1" x14ac:dyDescent="0.15"/>
    <row r="93" spans="1:3" s="2" customFormat="1" ht="21" customHeight="1" x14ac:dyDescent="0.15"/>
    <row r="94" spans="1:3" s="2" customFormat="1" ht="21" customHeight="1" x14ac:dyDescent="0.15"/>
    <row r="95" spans="1:3" s="2" customFormat="1" ht="21" customHeight="1" x14ac:dyDescent="0.15"/>
    <row r="96" spans="1:3" s="2" customFormat="1" ht="21" customHeight="1" x14ac:dyDescent="0.15">
      <c r="A96" s="2" t="s">
        <v>52</v>
      </c>
    </row>
    <row r="97" spans="2:2" ht="21" customHeight="1" x14ac:dyDescent="0.15"/>
    <row r="98" spans="2:2" ht="21" customHeight="1" x14ac:dyDescent="0.15"/>
    <row r="99" spans="2:2" ht="21" customHeight="1" x14ac:dyDescent="0.15"/>
    <row r="100" spans="2:2" ht="21" customHeight="1" x14ac:dyDescent="0.15"/>
    <row r="101" spans="2:2" ht="21" customHeight="1" x14ac:dyDescent="0.15"/>
    <row r="102" spans="2:2" ht="21" customHeight="1" x14ac:dyDescent="0.15"/>
    <row r="103" spans="2:2" s="9" customFormat="1" ht="23.25" customHeight="1" x14ac:dyDescent="0.15">
      <c r="B103" s="9" t="s">
        <v>47</v>
      </c>
    </row>
    <row r="104" spans="2:2" s="9" customFormat="1" ht="16.5" customHeight="1" x14ac:dyDescent="0.15">
      <c r="B104" s="9" t="s">
        <v>32</v>
      </c>
    </row>
    <row r="105" spans="2:2" ht="21" customHeight="1" x14ac:dyDescent="0.15"/>
    <row r="106" spans="2:2" ht="21" customHeight="1" x14ac:dyDescent="0.15"/>
    <row r="107" spans="2:2" ht="21" customHeight="1" x14ac:dyDescent="0.15"/>
    <row r="108" spans="2:2" ht="21" customHeight="1" x14ac:dyDescent="0.15"/>
    <row r="109" spans="2:2" ht="21" customHeight="1" x14ac:dyDescent="0.15"/>
    <row r="110" spans="2:2" ht="21" customHeight="1" x14ac:dyDescent="0.15"/>
  </sheetData>
  <mergeCells count="11">
    <mergeCell ref="B2:D2"/>
    <mergeCell ref="B3:D3"/>
    <mergeCell ref="F71:F78"/>
    <mergeCell ref="G71:G78"/>
    <mergeCell ref="H71:H78"/>
    <mergeCell ref="G29:H29"/>
    <mergeCell ref="G30:H30"/>
    <mergeCell ref="G31:H31"/>
    <mergeCell ref="G32:H32"/>
    <mergeCell ref="G33:H33"/>
    <mergeCell ref="G34:H34"/>
  </mergeCells>
  <pageMargins left="0.70866141732283472" right="0.70866141732283472" top="0.74803149606299213" bottom="0.74803149606299213" header="0.31496062992125984" footer="0.31496062992125984"/>
  <pageSetup paperSize="9" scale="83" fitToHeight="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D35" sqref="D35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C1</vt:lpstr>
      <vt:lpstr>C2</vt:lpstr>
      <vt:lpstr>Càlculs</vt:lpstr>
      <vt:lpstr>'C1'!Print_Area</vt:lpstr>
      <vt:lpstr>'C2'!Print_Area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IGNASI</dc:creator>
  <cp:lastModifiedBy>Sergio Castañeiras Morales</cp:lastModifiedBy>
  <cp:lastPrinted>2021-04-16T08:01:40Z</cp:lastPrinted>
  <dcterms:created xsi:type="dcterms:W3CDTF">2021-03-22T14:48:22Z</dcterms:created>
  <dcterms:modified xsi:type="dcterms:W3CDTF">2025-05-19T12:52:01Z</dcterms:modified>
</cp:coreProperties>
</file>