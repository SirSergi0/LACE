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166925"/>
  <mc:AlternateContent xmlns:mc="http://schemas.openxmlformats.org/markup-compatibility/2006">
    <mc:Choice Requires="x15">
      <x15ac:absPath xmlns:x15ac="http://schemas.microsoft.com/office/spreadsheetml/2010/11/ac" url="/Users/deumenec/Documents/Uni/LACE/Sergio i Dome/"/>
    </mc:Choice>
  </mc:AlternateContent>
  <xr:revisionPtr revIDLastSave="0" documentId="13_ncr:1_{E6DA2383-C5C0-7D45-9202-6ECCFA8A09EA}" xr6:coauthVersionLast="47" xr6:coauthVersionMax="47" xr10:uidLastSave="{00000000-0000-0000-0000-000000000000}"/>
  <bookViews>
    <workbookView xWindow="0" yWindow="760" windowWidth="30240" windowHeight="18880" xr2:uid="{00000000-000D-0000-FFFF-FFFF00000000}"/>
  </bookViews>
  <sheets>
    <sheet name="Pràctica P" sheetId="1" r:id="rId1"/>
    <sheet name="Càlcul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1" l="1"/>
  <c r="I82" i="1"/>
  <c r="O82" i="1"/>
  <c r="O83" i="1"/>
  <c r="O84" i="1"/>
  <c r="O85" i="1"/>
  <c r="O81" i="1"/>
  <c r="R80" i="1" a="1"/>
  <c r="R80" i="1" s="1"/>
  <c r="P82" i="1"/>
  <c r="P83" i="1"/>
  <c r="P84" i="1"/>
  <c r="P85" i="1"/>
  <c r="P81" i="1"/>
  <c r="B83" i="1"/>
  <c r="B84" i="1"/>
  <c r="B85" i="1"/>
  <c r="B86" i="1"/>
  <c r="B82" i="1"/>
  <c r="K82" i="1"/>
  <c r="E82" i="1" l="1"/>
  <c r="E83" i="1"/>
  <c r="E84" i="1"/>
  <c r="E85" i="1"/>
  <c r="E86" i="1"/>
  <c r="I83" i="1"/>
  <c r="E75" i="1"/>
  <c r="B75" i="1"/>
  <c r="E74" i="1"/>
  <c r="N13" i="1" a="1"/>
  <c r="N13" i="1" s="1"/>
  <c r="B74" i="1"/>
  <c r="E52" i="1"/>
  <c r="E45" i="1"/>
  <c r="E61" i="1"/>
  <c r="E60" i="1"/>
  <c r="E63" i="1" l="1"/>
  <c r="F13" i="1" l="1"/>
  <c r="D35" i="1"/>
  <c r="E46" i="1"/>
  <c r="G13" i="1"/>
  <c r="E35" i="1"/>
  <c r="I41" i="1" s="1"/>
  <c r="E38" i="1"/>
  <c r="D38" i="1"/>
  <c r="I42" i="1"/>
  <c r="G14" i="1"/>
  <c r="G15" i="1"/>
  <c r="G16" i="1"/>
  <c r="G17" i="1"/>
  <c r="G18" i="1"/>
  <c r="G19" i="1"/>
  <c r="F14" i="1"/>
  <c r="F15" i="1"/>
  <c r="F16" i="1"/>
  <c r="F17" i="1"/>
  <c r="F18" i="1"/>
  <c r="F19" i="1"/>
  <c r="I35" i="1" l="1" a="1"/>
  <c r="B73" i="1" l="1"/>
  <c r="B72" i="1"/>
  <c r="I35" i="1"/>
  <c r="D52" i="1"/>
  <c r="E6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<sst xmlns="http://schemas.openxmlformats.org/spreadsheetml/2006/main" count="111" uniqueCount="92">
  <si>
    <t>Mostra</t>
  </si>
  <si>
    <t>Int.confiança</t>
  </si>
  <si>
    <t>conc.mostra</t>
  </si>
  <si>
    <t>ml enràs</t>
  </si>
  <si>
    <t>Corba Calibrat:</t>
  </si>
  <si>
    <t>Factor dilució</t>
  </si>
  <si>
    <t>n</t>
  </si>
  <si>
    <t>Data:</t>
  </si>
  <si>
    <t>Grup pràctiques:</t>
  </si>
  <si>
    <t>Parella:</t>
  </si>
  <si>
    <t>Alumnes:</t>
  </si>
  <si>
    <t>Informe pràctica P</t>
  </si>
  <si>
    <t>1. Descripció de la mostra</t>
  </si>
  <si>
    <t>2. Descripció de l'equip</t>
  </si>
  <si>
    <t>3. Estimació del rang lineal</t>
  </si>
  <si>
    <t>Senyal</t>
  </si>
  <si>
    <t>Patró Quinina
(ppm)</t>
  </si>
  <si>
    <t>log Senyal</t>
  </si>
  <si>
    <t>log [Quinina]</t>
  </si>
  <si>
    <t>Estoc Quinina
(ml)</t>
  </si>
  <si>
    <t>Límit inferior</t>
  </si>
  <si>
    <t>Límit superior</t>
  </si>
  <si>
    <t>[Quinina]
(ppm)</t>
  </si>
  <si>
    <t>V enràs (ml)</t>
  </si>
  <si>
    <t>Pendent</t>
  </si>
  <si>
    <t>Ord. Origen</t>
  </si>
  <si>
    <r>
      <t>S</t>
    </r>
    <r>
      <rPr>
        <vertAlign val="subscript"/>
        <sz val="11"/>
        <color theme="1"/>
        <rFont val="Arial"/>
        <family val="2"/>
      </rPr>
      <t>0</t>
    </r>
  </si>
  <si>
    <t>Justificació del rang lineal elegit</t>
  </si>
  <si>
    <t>4. Estimació quinina en tònica</t>
  </si>
  <si>
    <t>5. Estimació del límit de detecció</t>
  </si>
  <si>
    <t>5a. Càlcul a partir del blanc</t>
  </si>
  <si>
    <r>
      <t>x</t>
    </r>
    <r>
      <rPr>
        <vertAlign val="subscript"/>
        <sz val="11"/>
        <color theme="1"/>
        <rFont val="Arial"/>
        <family val="2"/>
      </rPr>
      <t>LOD</t>
    </r>
  </si>
  <si>
    <t>5b. Càlcul a partir de la recta de calibratge</t>
  </si>
  <si>
    <r>
      <rPr>
        <sz val="11"/>
        <color theme="1"/>
        <rFont val="Arial"/>
        <family val="2"/>
      </rPr>
      <t>S</t>
    </r>
    <r>
      <rPr>
        <vertAlign val="subscript"/>
        <sz val="11"/>
        <color theme="1"/>
        <rFont val="Arial"/>
        <family val="2"/>
      </rPr>
      <t>y/x</t>
    </r>
  </si>
  <si>
    <t>Comparació (i discussió) dels valors de LOD calculats respecte l'observat</t>
  </si>
  <si>
    <t>6. Quenching halurs</t>
  </si>
  <si>
    <r>
      <t>[Br</t>
    </r>
    <r>
      <rPr>
        <vertAlign val="superscript"/>
        <sz val="11"/>
        <color theme="1"/>
        <rFont val="Arial"/>
        <family val="2"/>
      </rPr>
      <t>-</t>
    </r>
    <r>
      <rPr>
        <sz val="11"/>
        <color theme="1"/>
        <rFont val="Arial"/>
        <family val="2"/>
      </rPr>
      <t>] (mM)</t>
    </r>
  </si>
  <si>
    <t>Representació gràfica:</t>
  </si>
  <si>
    <t>Eq. Stern-Volmer:</t>
  </si>
  <si>
    <r>
      <t>k</t>
    </r>
    <r>
      <rPr>
        <vertAlign val="subscript"/>
        <sz val="11"/>
        <color theme="1"/>
        <rFont val="Arial"/>
        <family val="2"/>
      </rPr>
      <t>q</t>
    </r>
  </si>
  <si>
    <t>Comentaris</t>
  </si>
  <si>
    <t>Corba Calibrat (log vs log):</t>
  </si>
  <si>
    <t>Discutir si el contingut de quinina està o no per sota del límit establert per la legislació vigent.</t>
  </si>
  <si>
    <t>Patró KBr
(ppm)</t>
  </si>
  <si>
    <t>Estoc KBr
(ml)</t>
  </si>
  <si>
    <t>7. Comentaris addicionals..... (només si vols destacar alguna cosa)</t>
  </si>
  <si>
    <t xml:space="preserve">GRUP 2.1 (G3) tarda - 2on torn </t>
  </si>
  <si>
    <t>Sergio Castañeiras Morales i Domènec Huerta Estradé</t>
  </si>
  <si>
    <t>T_18</t>
  </si>
  <si>
    <t>yB</t>
  </si>
  <si>
    <t>SB</t>
  </si>
  <si>
    <t>xLOD</t>
  </si>
  <si>
    <t>yLOD</t>
  </si>
  <si>
    <t>Regressió del rang lineal amb punts addicionals: y= a + bx</t>
  </si>
  <si>
    <t>b</t>
  </si>
  <si>
    <t>a</t>
  </si>
  <si>
    <t>u_b</t>
  </si>
  <si>
    <t>u_a</t>
  </si>
  <si>
    <t>R^2</t>
  </si>
  <si>
    <t>S_{y/x}</t>
  </si>
  <si>
    <t>F</t>
  </si>
  <si>
    <t>dof</t>
  </si>
  <si>
    <t>Ssreg</t>
  </si>
  <si>
    <t>Ssresid</t>
  </si>
  <si>
    <t>y_{avg}</t>
  </si>
  <si>
    <t>s_{xx}</t>
  </si>
  <si>
    <t>t_{tab}</t>
  </si>
  <si>
    <t>Ens agradaria destacar que per com està configurat l'aparell, la relació senyal soroll de les mesures és relativament alta. És a dir, la mateixa mesura d'una d'una alíquota brinda resultats diferents en cada mesura. Per exemple, en el cas de la mostra, vam fer la proba de prendre 10 mesures repetides i s'obtenia una desviació mostral per la senyal d'aproximadament 2. Tot i així, l'aparell estava configurat per integrar la senyal mitjana al llarg de 0,1s. Per augmentar la sensibilitat, proposem que es configuri l'aparell per prendre mesures d'un segon. No es una modificació que allargui en cap sentit la pràctica i al probar-ho amb la profesora reduia aproximadament a la meitat de desviació mostral  entre mesures repetides.</t>
  </si>
  <si>
    <t>Rang lineal (ppm)</t>
  </si>
  <si>
    <t>L'equip utilitzat és un "Eclipse fluorescence spectrophotometer de la marca Agilent, equipat amb cubetes de quars i amb número de sèrie MY2339CGØ1, instalat 6 de novembre de 2023. Aquest ve acompanyat d'un ordinador equipat amb Windows 11. Per la mesura d'intensitat en fluorescència, l'aparell mesura la intensitat a 90º respecte el feix incident a la cubeta.</t>
  </si>
  <si>
    <t>Observem que en el càlcul de la corba de calibrat logarítmica hi ha valors que no és possible incloure ja que a concentracions prou baixes el soroll supera la senyal i fa que s'obtinguin resultats negatius, dels quals no és possible prendre el logaritme.</t>
  </si>
  <si>
    <t>Observem que amb la corba de calibrat normal no es pot observar directament quin és el rang de resposta lineal, però considerant el rang lineal del logaritme obtenim un coeficient de correlació d'1,000</t>
  </si>
  <si>
    <t>Observem que en l'interval seleccionat la linealitat és excelent, amb un coeficient R^2 de 0,9997, observem que l'òpmtim a més és intentar preparar la mostra perqué la concentració estimada es trobi aproximadament a la meitat de la concentració de l'interval de linealitat ja que d'acord amb la fórmula, allà és on es minimitza la incertesa associada amb la interpolació. De fet però, com nosaltres no coneixem la concentració prèviament, decidim en aquest moment diluir la mostra perqué aproximadament el límit legal es correspongui amb una concentració de 2ppm, aproximadament el límit superior de quantificació.</t>
  </si>
  <si>
    <t>(455± 4) ppm-1</t>
  </si>
  <si>
    <t>0± 5</t>
  </si>
  <si>
    <t>D'acord amb la legislació, la legislació i tal i com s'ha exposat, la concentració de quinina en begudes alcoholique no pot superar les 100 ppm. D'aquesta manera, la concentració de quinina a la tònica analitzada s'ajusta amb el fet que aquesta es tracti d'un producte amb el marcatge CE. Per aconseguir una concentració de la mostra aproximadament al mitg de l'interval, vam diluïr-la primer 1:10 i després vam enrassar amb 10 mL d'aquesta dissolució en un matràs de 25 mL</t>
  </si>
  <si>
    <t>ppm</t>
  </si>
  <si>
    <t>Escollim aquest rang lineal perquè és el que està per sobre del ratio S/N però alhora respecta una relació lineal entre la concentració de anàlit i la senyal. Observem que per sobre de les dues ppm es satura el detector, és a dir, quan la senyal arriba a 1000, l'aparell ja no pot mesurar una senyal superior. Per altra banda, decidim no afegir els punts de concentració inferior a 0,001 ppm ja que en aquests casos la gràfica logaritmica mostra com la variació de senyal ja no es correspon amb la de concentració, encara que a efectes pràctics no empitjoren molt la regressió.</t>
  </si>
  <si>
    <t>Estimació lineal logarítmica:</t>
  </si>
  <si>
    <t>sense tenir en compte el primer punt amb senyal negativa ni l'últim, fora de la linealitat</t>
  </si>
  <si>
    <t>x_quantificació</t>
  </si>
  <si>
    <t>KBr estoc:</t>
  </si>
  <si>
    <t>Senyal Sense Quencher:</t>
  </si>
  <si>
    <t>Observem com el mètode de calcul a partir del blanc no ens ha proporcionat informació significativa ja que marcant zero amb l'aparell amb el mateix blanc s'obtenen mesures de senyal negatives, que entenem que es poden deure en fluctuacions, el que ens fa obtenir aparentment un límit de detecció d'una concentració negativa. Per altra banda, observem com hem fet bé la calibració, calculant una recta per sobre del límit de quantificació, que es troba considerant 10 vegades la desviació estàndard del soroll. Així doncs, el segon mètode ha servit per quantifiacr rigorosament quin era realment aquest límit de detecció.</t>
  </si>
  <si>
    <t>mM Br</t>
  </si>
  <si>
    <t>Q</t>
  </si>
  <si>
    <t>ESTIMACIÓ LINEAL</t>
  </si>
  <si>
    <t>F_0/F</t>
  </si>
  <si>
    <r>
      <t>(0.224 ± 0.005) mM</t>
    </r>
    <r>
      <rPr>
        <vertAlign val="superscript"/>
        <sz val="11"/>
        <color theme="1"/>
        <rFont val="Arial"/>
        <family val="2"/>
      </rPr>
      <t>-1</t>
    </r>
  </si>
  <si>
    <t>F_0/F= 1+Q</t>
  </si>
  <si>
    <t xml:space="preserve">(1,01 ± 0,02) </t>
  </si>
  <si>
    <t>Notem que si no apliquem SV, no hi ha linealitat però aplicant-la s'aconsegueix una linealitat excelent!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</si>
</sst>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3"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14"/>
      <color theme="1"/>
      <name val="Arial"/>
      <family val="2"/>
    </font>
    <font>
      <sz val="12"/>
      <color theme="1"/>
      <name val="Arial"/>
      <family val="2"/>
    </font>
    <font>
      <vertAlign val="subscript"/>
      <sz val="11"/>
      <color theme="1"/>
      <name val="Arial"/>
      <family val="2"/>
    </font>
    <font>
      <vertAlign val="superscript"/>
      <sz val="11"/>
      <color theme="1"/>
      <name val="Arial"/>
      <family val="2"/>
    </font>
    <font>
      <sz val="12"/>
      <color rgb="FF000000"/>
      <name val="Arial"/>
      <family val="2"/>
    </font>
    <font>
      <sz val="8"/>
      <name val="Calibri"/>
      <family val="2"/>
      <scheme val="minor"/>
    </font>
    <font>
      <sz val="11"/>
      <name val="Arial"/>
      <family val="2"/>
    </font>
    <font>
      <sz val="11"/>
      <name val="Calibri"/>
      <family val="2"/>
      <scheme val="minor"/>
    </font>
    <font>
      <sz val="11"/>
      <color rgb="FF000000"/>
      <name val="Arial"/>
      <family val="2"/>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1">
    <xf numFmtId="0" fontId="0" fillId="0" borderId="0" xfId="0"/>
    <xf numFmtId="0" fontId="2" fillId="0" borderId="0" xfId="0" applyFont="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6" fillId="0" borderId="1" xfId="0" applyFont="1" applyBorder="1" applyAlignment="1">
      <alignment horizontal="center" vertical="center"/>
    </xf>
    <xf numFmtId="0" fontId="4"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1" fillId="0" borderId="1" xfId="0" applyFont="1" applyBorder="1" applyAlignment="1">
      <alignment vertical="center"/>
    </xf>
    <xf numFmtId="0" fontId="2"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0" xfId="0" applyFont="1" applyAlignment="1">
      <alignment horizontal="center" vertical="center"/>
    </xf>
    <xf numFmtId="0" fontId="1" fillId="0" borderId="2" xfId="0" applyFont="1" applyBorder="1" applyAlignment="1">
      <alignment vertical="center"/>
    </xf>
    <xf numFmtId="0" fontId="8" fillId="0" borderId="0" xfId="0" applyFont="1"/>
    <xf numFmtId="14" fontId="1" fillId="0" borderId="0" xfId="0" applyNumberFormat="1" applyFont="1" applyAlignment="1">
      <alignment vertical="center"/>
    </xf>
    <xf numFmtId="1" fontId="1" fillId="0" borderId="1" xfId="0" applyNumberFormat="1" applyFont="1" applyBorder="1" applyAlignment="1">
      <alignment horizontal="center" vertical="center"/>
    </xf>
    <xf numFmtId="165" fontId="1" fillId="0" borderId="1" xfId="0" applyNumberFormat="1" applyFont="1" applyBorder="1" applyAlignment="1">
      <alignment vertical="center"/>
    </xf>
    <xf numFmtId="0" fontId="1" fillId="0" borderId="1" xfId="0" applyFont="1" applyBorder="1" applyAlignment="1">
      <alignment horizontal="right" vertical="center"/>
    </xf>
    <xf numFmtId="0" fontId="10" fillId="0" borderId="0" xfId="0" applyFont="1" applyAlignment="1">
      <alignment vertical="center"/>
    </xf>
    <xf numFmtId="0" fontId="10" fillId="0" borderId="1" xfId="0" applyFont="1" applyBorder="1" applyAlignment="1">
      <alignment horizontal="right" vertical="center"/>
    </xf>
    <xf numFmtId="1" fontId="10" fillId="0" borderId="1" xfId="0" applyNumberFormat="1" applyFont="1" applyBorder="1" applyAlignment="1">
      <alignment vertical="center"/>
    </xf>
    <xf numFmtId="0" fontId="10" fillId="0" borderId="1" xfId="0" applyFont="1" applyBorder="1" applyAlignment="1">
      <alignment vertical="center"/>
    </xf>
    <xf numFmtId="165" fontId="10" fillId="0" borderId="1" xfId="0" applyNumberFormat="1" applyFont="1" applyBorder="1" applyAlignment="1">
      <alignment vertical="center"/>
    </xf>
    <xf numFmtId="164" fontId="10" fillId="0" borderId="1" xfId="0" applyNumberFormat="1" applyFont="1" applyBorder="1" applyAlignment="1">
      <alignment vertical="center"/>
    </xf>
    <xf numFmtId="166" fontId="10" fillId="0" borderId="1" xfId="0" applyNumberFormat="1" applyFont="1" applyBorder="1" applyAlignment="1">
      <alignment vertical="center"/>
    </xf>
    <xf numFmtId="0" fontId="11" fillId="0" borderId="1" xfId="0" applyFont="1" applyBorder="1" applyAlignment="1">
      <alignment horizontal="right"/>
    </xf>
    <xf numFmtId="166" fontId="10" fillId="0" borderId="1" xfId="0" applyNumberFormat="1" applyFont="1" applyBorder="1"/>
    <xf numFmtId="164" fontId="10" fillId="0" borderId="1" xfId="0" applyNumberFormat="1" applyFont="1" applyBorder="1"/>
    <xf numFmtId="165" fontId="10" fillId="0" borderId="1" xfId="0" applyNumberFormat="1" applyFont="1" applyBorder="1"/>
    <xf numFmtId="1" fontId="1" fillId="0" borderId="0" xfId="0" applyNumberFormat="1" applyFont="1" applyAlignment="1">
      <alignment horizontal="center" vertical="center"/>
    </xf>
    <xf numFmtId="0" fontId="12" fillId="0" borderId="0" xfId="0" applyFont="1" applyAlignment="1">
      <alignment vertical="center"/>
    </xf>
    <xf numFmtId="0" fontId="1" fillId="0" borderId="1" xfId="0" applyFont="1" applyBorder="1" applyAlignment="1">
      <alignment horizontal="right"/>
    </xf>
    <xf numFmtId="0" fontId="12" fillId="0" borderId="0" xfId="0" applyFont="1" applyAlignment="1">
      <alignment horizontal="center" vertical="center"/>
    </xf>
    <xf numFmtId="0" fontId="12"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 xfId="0" applyFont="1" applyBorder="1" applyAlignment="1">
      <alignment horizontal="center" vertical="center"/>
    </xf>
    <xf numFmtId="1" fontId="1" fillId="0" borderId="1" xfId="0" applyNumberFormat="1" applyFont="1" applyBorder="1" applyAlignment="1">
      <alignment horizontal="center" vertical="center"/>
    </xf>
    <xf numFmtId="0" fontId="2" fillId="0" borderId="1" xfId="0" applyFont="1" applyBorder="1" applyAlignment="1">
      <alignment horizontal="center" vertical="center"/>
    </xf>
    <xf numFmtId="2" fontId="1" fillId="0" borderId="1" xfId="0" applyNumberFormat="1" applyFont="1" applyBorder="1" applyAlignment="1">
      <alignment horizontal="center" vertical="center"/>
    </xf>
    <xf numFmtId="0" fontId="10" fillId="0" borderId="1" xfId="0" applyFont="1" applyBorder="1" applyAlignment="1">
      <alignment horizont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'Pràctica P'!$A$11</c:f>
              <c:strCache>
                <c:ptCount val="1"/>
                <c:pt idx="0">
                  <c:v>3. Estimació del rang lineal</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53959389900094079"/>
                  <c:y val="-4.2888024325795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P'!$D$15:$D$18</c:f>
              <c:numCache>
                <c:formatCode>General</c:formatCode>
                <c:ptCount val="4"/>
                <c:pt idx="0">
                  <c:v>1E-3</c:v>
                </c:pt>
                <c:pt idx="1">
                  <c:v>0.01</c:v>
                </c:pt>
                <c:pt idx="2">
                  <c:v>0.1</c:v>
                </c:pt>
                <c:pt idx="3">
                  <c:v>1</c:v>
                </c:pt>
              </c:numCache>
            </c:numRef>
          </c:xVal>
          <c:yVal>
            <c:numRef>
              <c:f>'Pràctica P'!$E$15:$E$18</c:f>
              <c:numCache>
                <c:formatCode>0.000</c:formatCode>
                <c:ptCount val="4"/>
                <c:pt idx="0">
                  <c:v>1.395</c:v>
                </c:pt>
                <c:pt idx="1">
                  <c:v>4.8490000000000002</c:v>
                </c:pt>
                <c:pt idx="2">
                  <c:v>47.015999999999998</c:v>
                </c:pt>
                <c:pt idx="3">
                  <c:v>464.61500000000001</c:v>
                </c:pt>
              </c:numCache>
            </c:numRef>
          </c:yVal>
          <c:smooth val="0"/>
          <c:extLst>
            <c:ext xmlns:c16="http://schemas.microsoft.com/office/drawing/2014/chart" uri="{C3380CC4-5D6E-409C-BE32-E72D297353CC}">
              <c16:uniqueId val="{00000000-B1AE-0247-A990-6B360078322C}"/>
            </c:ext>
          </c:extLst>
        </c:ser>
        <c:ser>
          <c:idx val="1"/>
          <c:order val="1"/>
          <c:tx>
            <c:v>Extra</c:v>
          </c:tx>
          <c:spPr>
            <a:ln w="25400" cap="rnd">
              <a:noFill/>
              <a:round/>
            </a:ln>
            <a:effectLst/>
          </c:spPr>
          <c:marker>
            <c:symbol val="circle"/>
            <c:size val="5"/>
            <c:spPr>
              <a:solidFill>
                <a:schemeClr val="accent2"/>
              </a:solidFill>
              <a:ln w="9525">
                <a:solidFill>
                  <a:schemeClr val="accent2"/>
                </a:solidFill>
              </a:ln>
              <a:effectLst/>
            </c:spPr>
          </c:marker>
          <c:xVal>
            <c:numRef>
              <c:f>('Pràctica P'!$D$13,'Pràctica P'!$D$14,'Pràctica P'!$D$19)</c:f>
              <c:numCache>
                <c:formatCode>General</c:formatCode>
                <c:ptCount val="3"/>
                <c:pt idx="0">
                  <c:v>1.0000000000000001E-5</c:v>
                </c:pt>
                <c:pt idx="1">
                  <c:v>1E-4</c:v>
                </c:pt>
                <c:pt idx="2">
                  <c:v>10</c:v>
                </c:pt>
              </c:numCache>
            </c:numRef>
          </c:xVal>
          <c:yVal>
            <c:numRef>
              <c:f>('Pràctica P'!$E$13,'Pràctica P'!$E$14,'Pràctica P'!$E$19)</c:f>
              <c:numCache>
                <c:formatCode>0.000</c:formatCode>
                <c:ptCount val="3"/>
                <c:pt idx="0">
                  <c:v>-0.04</c:v>
                </c:pt>
                <c:pt idx="1">
                  <c:v>0.16900000000000001</c:v>
                </c:pt>
                <c:pt idx="2">
                  <c:v>999.67899999999997</c:v>
                </c:pt>
              </c:numCache>
            </c:numRef>
          </c:yVal>
          <c:smooth val="0"/>
          <c:extLst>
            <c:ext xmlns:c16="http://schemas.microsoft.com/office/drawing/2014/chart" uri="{C3380CC4-5D6E-409C-BE32-E72D297353CC}">
              <c16:uniqueId val="{00000009-5C1A-E944-BF75-529EBD372402}"/>
            </c:ext>
          </c:extLst>
        </c:ser>
        <c:dLbls>
          <c:showLegendKey val="0"/>
          <c:showVal val="0"/>
          <c:showCatName val="0"/>
          <c:showSerName val="0"/>
          <c:showPercent val="0"/>
          <c:showBubbleSize val="0"/>
        </c:dLbls>
        <c:axId val="213031584"/>
        <c:axId val="213033296"/>
      </c:scatterChart>
      <c:valAx>
        <c:axId val="213031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[Quinina]</a:t>
                </a:r>
                <a:r>
                  <a:rPr lang="en-US" baseline="0"/>
                  <a:t>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13033296"/>
        <c:crosses val="autoZero"/>
        <c:crossBetween val="midCat"/>
      </c:valAx>
      <c:valAx>
        <c:axId val="213033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Senyal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130315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tx>
            <c:strRef>
              <c:f>'Pràctica P'!$F$12</c:f>
              <c:strCache>
                <c:ptCount val="1"/>
                <c:pt idx="0">
                  <c:v>log [Quinina]</c:v>
                </c:pt>
              </c:strCache>
            </c:strRef>
          </c:tx>
          <c:spPr>
            <a:ln w="25400" cap="rnd">
              <a:noFill/>
              <a:round/>
            </a:ln>
            <a:effectLst/>
          </c:spPr>
          <c:marker>
            <c:symbol val="circle"/>
            <c:size val="5"/>
            <c:spPr>
              <a:solidFill>
                <a:schemeClr val="accent1"/>
              </a:solidFill>
              <a:ln w="9525">
                <a:solidFill>
                  <a:schemeClr val="accent1"/>
                </a:solidFill>
              </a:ln>
              <a:effectLst/>
            </c:spPr>
          </c:marker>
          <c:xVal>
            <c:numRef>
              <c:f>'Pràctica P'!$F$14:$F$19</c:f>
              <c:numCache>
                <c:formatCode>General</c:formatCode>
                <c:ptCount val="6"/>
                <c:pt idx="0">
                  <c:v>-4</c:v>
                </c:pt>
                <c:pt idx="1">
                  <c:v>-3</c:v>
                </c:pt>
                <c:pt idx="2">
                  <c:v>-2</c:v>
                </c:pt>
                <c:pt idx="3">
                  <c:v>-1</c:v>
                </c:pt>
                <c:pt idx="4">
                  <c:v>0</c:v>
                </c:pt>
                <c:pt idx="5">
                  <c:v>1</c:v>
                </c:pt>
              </c:numCache>
            </c:numRef>
          </c:xVal>
          <c:yVal>
            <c:numRef>
              <c:f>'Pràctica P'!$G$14:$G$19</c:f>
              <c:numCache>
                <c:formatCode>General</c:formatCode>
                <c:ptCount val="6"/>
                <c:pt idx="0">
                  <c:v>-0.77211329538632645</c:v>
                </c:pt>
                <c:pt idx="1">
                  <c:v>0.14457420760961637</c:v>
                </c:pt>
                <c:pt idx="2">
                  <c:v>0.68565218411552442</c:v>
                </c:pt>
                <c:pt idx="3">
                  <c:v>1.6722456777063424</c:v>
                </c:pt>
                <c:pt idx="4">
                  <c:v>2.6670932267988468</c:v>
                </c:pt>
                <c:pt idx="5">
                  <c:v>2.9998605690914508</c:v>
                </c:pt>
              </c:numCache>
            </c:numRef>
          </c:yVal>
          <c:smooth val="0"/>
          <c:extLst>
            <c:ext xmlns:c16="http://schemas.microsoft.com/office/drawing/2014/chart" uri="{C3380CC4-5D6E-409C-BE32-E72D297353CC}">
              <c16:uniqueId val="{00000000-5D6D-094E-A75B-47C6130C8FF7}"/>
            </c:ext>
          </c:extLst>
        </c:ser>
        <c:dLbls>
          <c:showLegendKey val="0"/>
          <c:showVal val="0"/>
          <c:showCatName val="0"/>
          <c:showSerName val="0"/>
          <c:showPercent val="0"/>
          <c:showBubbleSize val="0"/>
        </c:dLbls>
        <c:axId val="213229296"/>
        <c:axId val="213231008"/>
      </c:scatterChart>
      <c:valAx>
        <c:axId val="213229296"/>
        <c:scaling>
          <c:orientation val="minMax"/>
        </c:scaling>
        <c:delete val="0"/>
        <c:axPos val="b"/>
        <c:title>
          <c:tx>
            <c:strRef>
              <c:f>'Pràctica P'!$F$12</c:f>
              <c:strCache>
                <c:ptCount val="1"/>
                <c:pt idx="0">
                  <c:v>log [Quinina]</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13231008"/>
        <c:crosses val="autoZero"/>
        <c:crossBetween val="midCat"/>
      </c:valAx>
      <c:valAx>
        <c:axId val="213231008"/>
        <c:scaling>
          <c:orientation val="minMax"/>
        </c:scaling>
        <c:delete val="0"/>
        <c:axPos val="l"/>
        <c:title>
          <c:tx>
            <c:strRef>
              <c:f>'Pràctica P'!$G$12</c:f>
              <c:strCache>
                <c:ptCount val="1"/>
                <c:pt idx="0">
                  <c:v>log Senyal</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132292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tx>
            <c:strRef>
              <c:f>'Pràctica P'!$D$34</c:f>
              <c:strCache>
                <c:ptCount val="1"/>
                <c:pt idx="0">
                  <c:v>[Quinina]
(ppm)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9233666418956382E-2"/>
                  <c:y val="0.1060444131956895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P'!$D$35:$D$39</c:f>
              <c:numCache>
                <c:formatCode>General</c:formatCode>
                <c:ptCount val="5"/>
                <c:pt idx="0">
                  <c:v>0.1</c:v>
                </c:pt>
                <c:pt idx="1">
                  <c:v>0.2</c:v>
                </c:pt>
                <c:pt idx="2">
                  <c:v>0.5</c:v>
                </c:pt>
                <c:pt idx="3">
                  <c:v>1</c:v>
                </c:pt>
                <c:pt idx="4">
                  <c:v>2</c:v>
                </c:pt>
              </c:numCache>
            </c:numRef>
          </c:xVal>
          <c:yVal>
            <c:numRef>
              <c:f>'Pràctica P'!$E$35:$E$39</c:f>
              <c:numCache>
                <c:formatCode>General</c:formatCode>
                <c:ptCount val="5"/>
                <c:pt idx="0">
                  <c:v>47.015999999999998</c:v>
                </c:pt>
                <c:pt idx="1">
                  <c:v>90.332999999999998</c:v>
                </c:pt>
                <c:pt idx="2">
                  <c:v>221.28800000000001</c:v>
                </c:pt>
                <c:pt idx="3">
                  <c:v>464.61500000000001</c:v>
                </c:pt>
                <c:pt idx="4">
                  <c:v>906.86199999999997</c:v>
                </c:pt>
              </c:numCache>
            </c:numRef>
          </c:yVal>
          <c:smooth val="0"/>
          <c:extLst>
            <c:ext xmlns:c16="http://schemas.microsoft.com/office/drawing/2014/chart" uri="{C3380CC4-5D6E-409C-BE32-E72D297353CC}">
              <c16:uniqueId val="{00000000-FBD0-1D46-91E2-1E430EBF3C9F}"/>
            </c:ext>
          </c:extLst>
        </c:ser>
        <c:dLbls>
          <c:showLegendKey val="0"/>
          <c:showVal val="0"/>
          <c:showCatName val="0"/>
          <c:showSerName val="0"/>
          <c:showPercent val="0"/>
          <c:showBubbleSize val="0"/>
        </c:dLbls>
        <c:axId val="997172272"/>
        <c:axId val="2093281040"/>
      </c:scatterChart>
      <c:valAx>
        <c:axId val="997172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Concentració de quinina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093281040"/>
        <c:crosses val="autoZero"/>
        <c:crossBetween val="midCat"/>
      </c:valAx>
      <c:valAx>
        <c:axId val="2093281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Senyal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9971722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1"/>
          <c:order val="0"/>
          <c:tx>
            <c:strRef>
              <c:f>'Pràctica P'!$A$80</c:f>
              <c:strCache>
                <c:ptCount val="1"/>
                <c:pt idx="0">
                  <c:v>6. Quenching halurs</c:v>
                </c:pt>
              </c:strCache>
            </c:strRef>
          </c:tx>
          <c:spPr>
            <a:ln w="25400" cap="rnd">
              <a:noFill/>
              <a:round/>
            </a:ln>
            <a:effectLst/>
          </c:spPr>
          <c:marker>
            <c:symbol val="circle"/>
            <c:size val="5"/>
            <c:spPr>
              <a:solidFill>
                <a:schemeClr val="accent2"/>
              </a:solidFill>
              <a:ln w="9525">
                <a:solidFill>
                  <a:schemeClr val="accent2"/>
                </a:solidFill>
              </a:ln>
              <a:effectLst/>
            </c:spPr>
          </c:marker>
          <c:xVal>
            <c:numRef>
              <c:f>'Pràctica P'!$E$82:$E$86</c:f>
              <c:numCache>
                <c:formatCode>General</c:formatCode>
                <c:ptCount val="5"/>
                <c:pt idx="0">
                  <c:v>0.98857142857142855</c:v>
                </c:pt>
                <c:pt idx="1">
                  <c:v>1.9771428571428571</c:v>
                </c:pt>
                <c:pt idx="2">
                  <c:v>2.9657142857142853</c:v>
                </c:pt>
                <c:pt idx="3">
                  <c:v>3.9542857142857142</c:v>
                </c:pt>
                <c:pt idx="4">
                  <c:v>4.9428571428571431</c:v>
                </c:pt>
              </c:numCache>
            </c:numRef>
          </c:xVal>
          <c:yVal>
            <c:numRef>
              <c:f>'Pràctica P'!$F$82:$F$86</c:f>
              <c:numCache>
                <c:formatCode>General</c:formatCode>
                <c:ptCount val="5"/>
                <c:pt idx="0">
                  <c:v>376.37400000000002</c:v>
                </c:pt>
                <c:pt idx="1">
                  <c:v>323.61799999999999</c:v>
                </c:pt>
                <c:pt idx="2">
                  <c:v>275.72699999999998</c:v>
                </c:pt>
                <c:pt idx="3">
                  <c:v>247.464</c:v>
                </c:pt>
                <c:pt idx="4">
                  <c:v>218.91</c:v>
                </c:pt>
              </c:numCache>
            </c:numRef>
          </c:yVal>
          <c:smooth val="0"/>
          <c:extLst>
            <c:ext xmlns:c16="http://schemas.microsoft.com/office/drawing/2014/chart" uri="{C3380CC4-5D6E-409C-BE32-E72D297353CC}">
              <c16:uniqueId val="{00000001-0CFB-D747-80FB-2F714004F629}"/>
            </c:ext>
          </c:extLst>
        </c:ser>
        <c:dLbls>
          <c:showLegendKey val="0"/>
          <c:showVal val="0"/>
          <c:showCatName val="0"/>
          <c:showSerName val="0"/>
          <c:showPercent val="0"/>
          <c:showBubbleSize val="0"/>
        </c:dLbls>
        <c:axId val="1412063024"/>
        <c:axId val="1412064736"/>
      </c:scatterChart>
      <c:valAx>
        <c:axId val="1412063024"/>
        <c:scaling>
          <c:orientation val="minMax"/>
        </c:scaling>
        <c:delete val="0"/>
        <c:axPos val="b"/>
        <c:title>
          <c:tx>
            <c:strRef>
              <c:f>'Pràctica P'!$E$81</c:f>
              <c:strCache>
                <c:ptCount val="1"/>
                <c:pt idx="0">
                  <c:v>[Br-] (mM)</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412064736"/>
        <c:crosses val="autoZero"/>
        <c:crossBetween val="midCat"/>
      </c:valAx>
      <c:valAx>
        <c:axId val="1412064736"/>
        <c:scaling>
          <c:orientation val="minMax"/>
          <c:min val="200"/>
        </c:scaling>
        <c:delete val="0"/>
        <c:axPos val="l"/>
        <c:title>
          <c:tx>
            <c:strRef>
              <c:f>'Pràctica P'!$F$81</c:f>
              <c:strCache>
                <c:ptCount val="1"/>
                <c:pt idx="0">
                  <c:v>Senyal</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4120630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Stern-Volmer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1"/>
          <c:order val="0"/>
          <c:tx>
            <c:strRef>
              <c:f>'Pràctica P'!$A$80</c:f>
              <c:strCache>
                <c:ptCount val="1"/>
                <c:pt idx="0">
                  <c:v>6. Quenching halurs</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'Pràctica P'!$P$81:$P$85</c:f>
              <c:numCache>
                <c:formatCode>General</c:formatCode>
                <c:ptCount val="5"/>
                <c:pt idx="0">
                  <c:v>0.98857142857142855</c:v>
                </c:pt>
                <c:pt idx="1">
                  <c:v>1.9771428571428571</c:v>
                </c:pt>
                <c:pt idx="2">
                  <c:v>2.9657142857142853</c:v>
                </c:pt>
                <c:pt idx="3">
                  <c:v>3.9542857142857142</c:v>
                </c:pt>
                <c:pt idx="4">
                  <c:v>4.9428571428571431</c:v>
                </c:pt>
              </c:numCache>
            </c:numRef>
          </c:xVal>
          <c:yVal>
            <c:numRef>
              <c:f>'Pràctica P'!$O$81:$O$85</c:f>
              <c:numCache>
                <c:formatCode>General</c:formatCode>
                <c:ptCount val="5"/>
                <c:pt idx="0">
                  <c:v>1.2344503074069941</c:v>
                </c:pt>
                <c:pt idx="1">
                  <c:v>1.4356896093542386</c:v>
                </c:pt>
                <c:pt idx="2">
                  <c:v>1.6850544197702801</c:v>
                </c:pt>
                <c:pt idx="3">
                  <c:v>1.8775054149290402</c:v>
                </c:pt>
                <c:pt idx="4">
                  <c:v>2.1224019003243342</c:v>
                </c:pt>
              </c:numCache>
            </c:numRef>
          </c:yVal>
          <c:smooth val="0"/>
          <c:extLst>
            <c:ext xmlns:c16="http://schemas.microsoft.com/office/drawing/2014/chart" uri="{C3380CC4-5D6E-409C-BE32-E72D297353CC}">
              <c16:uniqueId val="{00000000-B39D-2046-9E9C-22683D80F9EF}"/>
            </c:ext>
          </c:extLst>
        </c:ser>
        <c:dLbls>
          <c:showLegendKey val="0"/>
          <c:showVal val="0"/>
          <c:showCatName val="0"/>
          <c:showSerName val="0"/>
          <c:showPercent val="0"/>
          <c:showBubbleSize val="0"/>
        </c:dLbls>
        <c:axId val="1412063024"/>
        <c:axId val="1412064736"/>
      </c:scatterChart>
      <c:valAx>
        <c:axId val="1412063024"/>
        <c:scaling>
          <c:orientation val="minMax"/>
        </c:scaling>
        <c:delete val="0"/>
        <c:axPos val="b"/>
        <c:title>
          <c:tx>
            <c:strRef>
              <c:f>'Pràctica P'!$E$81</c:f>
              <c:strCache>
                <c:ptCount val="1"/>
                <c:pt idx="0">
                  <c:v>[Br-] (mM)</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412064736"/>
        <c:crosses val="autoZero"/>
        <c:crossBetween val="midCat"/>
      </c:valAx>
      <c:valAx>
        <c:axId val="14120647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Senyal_0/Senyal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4120630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63500</xdr:colOff>
      <xdr:row>5</xdr:row>
      <xdr:rowOff>38100</xdr:rowOff>
    </xdr:from>
    <xdr:to>
      <xdr:col>5</xdr:col>
      <xdr:colOff>1587500</xdr:colOff>
      <xdr:row>5</xdr:row>
      <xdr:rowOff>2692400</xdr:rowOff>
    </xdr:to>
    <xdr:sp macro="" textlink="">
      <xdr:nvSpPr>
        <xdr:cNvPr id="2" name="TextBox 1">
          <a:extLst>
            <a:ext uri="{FF2B5EF4-FFF2-40B4-BE49-F238E27FC236}">
              <a16:creationId xmlns:a16="http://schemas.microsoft.com/office/drawing/2014/main" id="{E2DE095D-4A8B-7531-2A84-D0748E487BC4}"/>
            </a:ext>
          </a:extLst>
        </xdr:cNvPr>
        <xdr:cNvSpPr txBox="1"/>
      </xdr:nvSpPr>
      <xdr:spPr>
        <a:xfrm>
          <a:off x="63500" y="1066800"/>
          <a:ext cx="7112000" cy="265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La mostra consisteix en una tònica de marca Schweppes</a:t>
          </a:r>
          <a:r>
            <a:rPr lang="en-US" sz="1100" baseline="0"/>
            <a:t> lot </a:t>
          </a:r>
          <a:r>
            <a:rPr lang="en-US" sz="1100"/>
            <a:t>09052010.</a:t>
          </a:r>
          <a:r>
            <a:rPr lang="en-US" sz="1100" baseline="0"/>
            <a:t> </a:t>
          </a:r>
          <a:r>
            <a:rPr lang="en-US" sz="1100"/>
            <a:t>En</a:t>
          </a:r>
          <a:r>
            <a:rPr lang="en-US" sz="1100" baseline="0"/>
            <a:t> l'envàs no queda establerta la concentració de quinina present a la mostra, però sí especifica que el contingut promig d'energia per cada 100 ml de tònica és de 11 kcal. La mostra no conté lípidas ni proteines (en masses apreciables segons l'envàs) ara bé tenim 2.4 grams d'hidrats de carboni dels quals 2.4 grams són sucrec (tots els hidrats de carboni son sucrec) i 0.02 g de sal.</a:t>
          </a:r>
        </a:p>
        <a:p>
          <a:pPr algn="ctr"/>
          <a:endParaRPr lang="en-US" sz="1100" baseline="0"/>
        </a:p>
        <a:p>
          <a:pPr algn="ctr"/>
          <a:r>
            <a:rPr lang="en-US" sz="1100" baseline="0"/>
            <a:t>La mostra caduca el 10/10/2024 (esta caducada).</a:t>
          </a:r>
        </a:p>
        <a:p>
          <a:pPr algn="ctr"/>
          <a:endParaRPr lang="en-US" sz="1100" baseline="0"/>
        </a:p>
        <a:p>
          <a:pPr algn="ctr"/>
          <a:r>
            <a:rPr lang="en-US" sz="1100" baseline="0"/>
            <a:t>E</a:t>
          </a:r>
          <a:r>
            <a:rPr lang="en-US" sz="1100"/>
            <a:t>l límit legal establert al Reial decret llei 407/1975 és de 100 ppm per a «aigües tòniques i amargs no alcohòlics».</a:t>
          </a:r>
        </a:p>
      </xdr:txBody>
    </xdr:sp>
    <xdr:clientData/>
  </xdr:twoCellAnchor>
  <xdr:twoCellAnchor>
    <xdr:from>
      <xdr:col>0</xdr:col>
      <xdr:colOff>69850</xdr:colOff>
      <xdr:row>21</xdr:row>
      <xdr:rowOff>31750</xdr:rowOff>
    </xdr:from>
    <xdr:to>
      <xdr:col>5</xdr:col>
      <xdr:colOff>1587500</xdr:colOff>
      <xdr:row>21</xdr:row>
      <xdr:rowOff>3797300</xdr:rowOff>
    </xdr:to>
    <xdr:graphicFrame macro="">
      <xdr:nvGraphicFramePr>
        <xdr:cNvPr id="6" name="Chart 5">
          <a:extLst>
            <a:ext uri="{FF2B5EF4-FFF2-40B4-BE49-F238E27FC236}">
              <a16:creationId xmlns:a16="http://schemas.microsoft.com/office/drawing/2014/main" id="{C1EADE2A-1C0A-C022-1160-4622147AB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80817</xdr:colOff>
      <xdr:row>21</xdr:row>
      <xdr:rowOff>48490</xdr:rowOff>
    </xdr:from>
    <xdr:to>
      <xdr:col>12</xdr:col>
      <xdr:colOff>888999</xdr:colOff>
      <xdr:row>21</xdr:row>
      <xdr:rowOff>3602181</xdr:rowOff>
    </xdr:to>
    <xdr:graphicFrame macro="">
      <xdr:nvGraphicFramePr>
        <xdr:cNvPr id="8" name="Chart 7">
          <a:extLst>
            <a:ext uri="{FF2B5EF4-FFF2-40B4-BE49-F238E27FC236}">
              <a16:creationId xmlns:a16="http://schemas.microsoft.com/office/drawing/2014/main" id="{9342AF32-3AD8-BA44-265C-0D6537EDA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43</xdr:row>
      <xdr:rowOff>13855</xdr:rowOff>
    </xdr:from>
    <xdr:to>
      <xdr:col>5</xdr:col>
      <xdr:colOff>1570181</xdr:colOff>
      <xdr:row>43</xdr:row>
      <xdr:rowOff>3706091</xdr:rowOff>
    </xdr:to>
    <xdr:graphicFrame macro="">
      <xdr:nvGraphicFramePr>
        <xdr:cNvPr id="9" name="Chart 8">
          <a:extLst>
            <a:ext uri="{FF2B5EF4-FFF2-40B4-BE49-F238E27FC236}">
              <a16:creationId xmlns:a16="http://schemas.microsoft.com/office/drawing/2014/main" id="{6FFB77E7-6F6D-B07A-ACFD-BAA9E4E2A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547889</xdr:colOff>
      <xdr:row>45</xdr:row>
      <xdr:rowOff>135726</xdr:rowOff>
    </xdr:from>
    <xdr:to>
      <xdr:col>10</xdr:col>
      <xdr:colOff>1239520</xdr:colOff>
      <xdr:row>49</xdr:row>
      <xdr:rowOff>40663</xdr:rowOff>
    </xdr:to>
    <xdr:pic>
      <xdr:nvPicPr>
        <xdr:cNvPr id="3" name="Picture 2">
          <a:extLst>
            <a:ext uri="{FF2B5EF4-FFF2-40B4-BE49-F238E27FC236}">
              <a16:creationId xmlns:a16="http://schemas.microsoft.com/office/drawing/2014/main" id="{D5BA7DD1-B8BF-6ADC-AA7F-331375F3215A}"/>
            </a:ext>
          </a:extLst>
        </xdr:cNvPr>
        <xdr:cNvPicPr>
          <a:picLocks noChangeAspect="1"/>
        </xdr:cNvPicPr>
      </xdr:nvPicPr>
      <xdr:blipFill>
        <a:blip xmlns:r="http://schemas.openxmlformats.org/officeDocument/2006/relationships" r:embed="rId4"/>
        <a:stretch>
          <a:fillRect/>
        </a:stretch>
      </xdr:blipFill>
      <xdr:spPr>
        <a:xfrm>
          <a:off x="7791593" y="21161282"/>
          <a:ext cx="5418853" cy="1515955"/>
        </a:xfrm>
        <a:prstGeom prst="rect">
          <a:avLst/>
        </a:prstGeom>
      </xdr:spPr>
    </xdr:pic>
    <xdr:clientData/>
  </xdr:twoCellAnchor>
  <xdr:twoCellAnchor>
    <xdr:from>
      <xdr:col>0</xdr:col>
      <xdr:colOff>0</xdr:colOff>
      <xdr:row>90</xdr:row>
      <xdr:rowOff>69850</xdr:rowOff>
    </xdr:from>
    <xdr:to>
      <xdr:col>6</xdr:col>
      <xdr:colOff>12700</xdr:colOff>
      <xdr:row>91</xdr:row>
      <xdr:rowOff>0</xdr:rowOff>
    </xdr:to>
    <xdr:graphicFrame macro="">
      <xdr:nvGraphicFramePr>
        <xdr:cNvPr id="5" name="Chart 4">
          <a:extLst>
            <a:ext uri="{FF2B5EF4-FFF2-40B4-BE49-F238E27FC236}">
              <a16:creationId xmlns:a16="http://schemas.microsoft.com/office/drawing/2014/main" id="{CE61887F-124C-7B8F-DB89-F7FA222A7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90</xdr:row>
      <xdr:rowOff>0</xdr:rowOff>
    </xdr:from>
    <xdr:to>
      <xdr:col>12</xdr:col>
      <xdr:colOff>691494</xdr:colOff>
      <xdr:row>90</xdr:row>
      <xdr:rowOff>3740150</xdr:rowOff>
    </xdr:to>
    <xdr:graphicFrame macro="">
      <xdr:nvGraphicFramePr>
        <xdr:cNvPr id="7" name="Chart 6">
          <a:extLst>
            <a:ext uri="{FF2B5EF4-FFF2-40B4-BE49-F238E27FC236}">
              <a16:creationId xmlns:a16="http://schemas.microsoft.com/office/drawing/2014/main" id="{95553ED1-D3B8-3A42-BC4A-1E2C2C397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
  <sheetViews>
    <sheetView showGridLines="0" tabSelected="1" topLeftCell="B86" zoomScale="89" zoomScaleNormal="100" workbookViewId="0">
      <selection activeCell="P93" sqref="P93"/>
    </sheetView>
  </sheetViews>
  <sheetFormatPr baseColWidth="10" defaultColWidth="11.5" defaultRowHeight="23.25" customHeight="1" x14ac:dyDescent="0.2"/>
  <cols>
    <col min="1" max="5" width="14.6640625" style="6" customWidth="1"/>
    <col min="6" max="6" width="21.83203125" style="6" customWidth="1"/>
    <col min="7" max="7" width="14.6640625" style="6" customWidth="1"/>
    <col min="8" max="8" width="18" style="6" customWidth="1"/>
    <col min="9" max="10" width="14.6640625" style="6" customWidth="1"/>
    <col min="11" max="11" width="24" style="6" customWidth="1"/>
    <col min="12" max="13" width="14.6640625" style="6" customWidth="1"/>
    <col min="14" max="16384" width="11.5" style="6"/>
  </cols>
  <sheetData>
    <row r="1" spans="1:17" ht="21" customHeight="1" x14ac:dyDescent="0.2">
      <c r="A1" s="5" t="s">
        <v>11</v>
      </c>
    </row>
    <row r="2" spans="1:17" s="8" customFormat="1" ht="15" customHeight="1" x14ac:dyDescent="0.2">
      <c r="A2" s="7" t="s">
        <v>8</v>
      </c>
      <c r="B2" s="16" t="s">
        <v>46</v>
      </c>
      <c r="E2" s="7" t="s">
        <v>7</v>
      </c>
      <c r="F2" s="17">
        <v>45789</v>
      </c>
    </row>
    <row r="3" spans="1:17" s="8" customFormat="1" ht="15" customHeight="1" x14ac:dyDescent="0.2">
      <c r="A3" s="7" t="s">
        <v>10</v>
      </c>
      <c r="B3" s="8" t="s">
        <v>47</v>
      </c>
      <c r="E3" s="7" t="s">
        <v>9</v>
      </c>
      <c r="F3" s="8" t="s">
        <v>48</v>
      </c>
    </row>
    <row r="4" spans="1:17" s="8" customFormat="1" ht="15" customHeight="1" x14ac:dyDescent="0.2">
      <c r="A4" s="7"/>
    </row>
    <row r="5" spans="1:17" s="8" customFormat="1" ht="15" customHeight="1" x14ac:dyDescent="0.2">
      <c r="A5" s="9" t="s">
        <v>12</v>
      </c>
    </row>
    <row r="6" spans="1:17" ht="221" customHeight="1" x14ac:dyDescent="0.2">
      <c r="A6" s="45"/>
      <c r="B6" s="45"/>
      <c r="C6" s="45"/>
      <c r="D6" s="45"/>
      <c r="E6" s="45"/>
      <c r="F6" s="45"/>
    </row>
    <row r="7" spans="1:17" ht="15" customHeight="1" x14ac:dyDescent="0.2"/>
    <row r="8" spans="1:17" ht="15" customHeight="1" x14ac:dyDescent="0.2">
      <c r="A8" s="9" t="s">
        <v>13</v>
      </c>
    </row>
    <row r="9" spans="1:17" ht="60" customHeight="1" x14ac:dyDescent="0.2">
      <c r="A9" s="37" t="s">
        <v>69</v>
      </c>
      <c r="B9" s="37"/>
      <c r="C9" s="37"/>
      <c r="D9" s="37"/>
      <c r="E9" s="37"/>
      <c r="F9" s="37"/>
    </row>
    <row r="10" spans="1:17" ht="15" customHeight="1" x14ac:dyDescent="0.2"/>
    <row r="11" spans="1:17" ht="15" customHeight="1" x14ac:dyDescent="0.2">
      <c r="A11" s="9" t="s">
        <v>14</v>
      </c>
    </row>
    <row r="12" spans="1:17" ht="30" x14ac:dyDescent="0.2">
      <c r="A12" s="2" t="s">
        <v>16</v>
      </c>
      <c r="B12" s="2" t="s">
        <v>19</v>
      </c>
      <c r="C12" s="3" t="s">
        <v>23</v>
      </c>
      <c r="D12" s="2" t="s">
        <v>22</v>
      </c>
      <c r="E12" s="3" t="s">
        <v>15</v>
      </c>
      <c r="F12" s="3" t="s">
        <v>18</v>
      </c>
      <c r="G12" s="3" t="s">
        <v>17</v>
      </c>
      <c r="I12" s="50" t="s">
        <v>70</v>
      </c>
      <c r="J12" s="50"/>
      <c r="K12" s="50"/>
      <c r="L12" s="50"/>
      <c r="N12" s="33" t="s">
        <v>78</v>
      </c>
    </row>
    <row r="13" spans="1:17" ht="15" customHeight="1" x14ac:dyDescent="0.2">
      <c r="A13" s="10">
        <v>1E-4</v>
      </c>
      <c r="B13" s="10">
        <v>2.5</v>
      </c>
      <c r="C13" s="10">
        <v>25</v>
      </c>
      <c r="D13" s="10">
        <v>1.0000000000000001E-5</v>
      </c>
      <c r="E13" s="19">
        <v>-0.04</v>
      </c>
      <c r="F13" s="10">
        <f>LOG10(D13)</f>
        <v>-5</v>
      </c>
      <c r="G13" s="3" t="e">
        <f>LOG10(E13)</f>
        <v>#NUM!</v>
      </c>
      <c r="I13" s="50"/>
      <c r="J13" s="50"/>
      <c r="K13" s="50"/>
      <c r="L13" s="50"/>
      <c r="N13" s="33" cm="1">
        <f t="array" ref="N13:O17">LINEST(G14:G19,F14:F19,1,1)</f>
        <v>0.78325771067278283</v>
      </c>
      <c r="O13" s="6">
        <v>2.4077719943317502</v>
      </c>
    </row>
    <row r="14" spans="1:17" ht="15" customHeight="1" x14ac:dyDescent="0.2">
      <c r="A14" s="10">
        <v>1E-3</v>
      </c>
      <c r="B14" s="10">
        <v>2.5</v>
      </c>
      <c r="C14" s="10">
        <v>25</v>
      </c>
      <c r="D14" s="10">
        <v>1E-4</v>
      </c>
      <c r="E14" s="19">
        <v>0.16900000000000001</v>
      </c>
      <c r="F14" s="10">
        <f t="shared" ref="F14:G19" si="0">LOG10(D14)</f>
        <v>-4</v>
      </c>
      <c r="G14" s="3">
        <f t="shared" si="0"/>
        <v>-0.77211329538632645</v>
      </c>
      <c r="I14" s="50"/>
      <c r="J14" s="50"/>
      <c r="K14" s="50"/>
      <c r="L14" s="50"/>
      <c r="N14" s="6">
        <v>4.471733150211208E-2</v>
      </c>
      <c r="O14" s="6">
        <v>0.10164384867169235</v>
      </c>
    </row>
    <row r="15" spans="1:17" ht="15" customHeight="1" x14ac:dyDescent="0.2">
      <c r="A15" s="10">
        <v>0.01</v>
      </c>
      <c r="B15" s="10">
        <v>2.5</v>
      </c>
      <c r="C15" s="10">
        <v>25</v>
      </c>
      <c r="D15" s="10">
        <v>1E-3</v>
      </c>
      <c r="E15" s="19">
        <v>1.395</v>
      </c>
      <c r="F15" s="10">
        <f t="shared" si="0"/>
        <v>-3</v>
      </c>
      <c r="G15" s="3">
        <f t="shared" si="0"/>
        <v>0.14457420760961637</v>
      </c>
      <c r="I15" s="50"/>
      <c r="J15" s="50"/>
      <c r="K15" s="50"/>
      <c r="L15" s="50"/>
      <c r="N15" s="6">
        <v>0.98713005277767529</v>
      </c>
      <c r="O15" s="6">
        <v>0.18706601880545073</v>
      </c>
    </row>
    <row r="16" spans="1:17" ht="15" customHeight="1" x14ac:dyDescent="0.2">
      <c r="A16" s="6">
        <v>0.1</v>
      </c>
      <c r="B16" s="10">
        <v>2.5</v>
      </c>
      <c r="C16" s="10">
        <v>25</v>
      </c>
      <c r="D16" s="10">
        <v>0.01</v>
      </c>
      <c r="E16" s="19">
        <v>4.8490000000000002</v>
      </c>
      <c r="F16" s="10">
        <f t="shared" si="0"/>
        <v>-2</v>
      </c>
      <c r="G16" s="3">
        <f t="shared" si="0"/>
        <v>0.68565218411552442</v>
      </c>
      <c r="I16" s="50"/>
      <c r="J16" s="50"/>
      <c r="K16" s="50"/>
      <c r="L16" s="50"/>
      <c r="N16" s="6">
        <v>306.80158534461009</v>
      </c>
      <c r="O16" s="6">
        <v>4</v>
      </c>
      <c r="Q16" s="6" t="s">
        <v>79</v>
      </c>
    </row>
    <row r="17" spans="1:19" ht="15" customHeight="1" x14ac:dyDescent="0.2">
      <c r="A17" s="10">
        <v>1</v>
      </c>
      <c r="B17" s="10">
        <v>2.5</v>
      </c>
      <c r="C17" s="10">
        <v>25</v>
      </c>
      <c r="D17" s="10">
        <v>0.1</v>
      </c>
      <c r="E17" s="19">
        <v>47.015999999999998</v>
      </c>
      <c r="F17" s="10">
        <f t="shared" si="0"/>
        <v>-1</v>
      </c>
      <c r="G17" s="3">
        <f t="shared" si="0"/>
        <v>1.6722456777063424</v>
      </c>
      <c r="I17" s="50"/>
      <c r="J17" s="50"/>
      <c r="K17" s="50"/>
      <c r="L17" s="50"/>
      <c r="N17" s="6">
        <v>10.736121223246453</v>
      </c>
      <c r="O17" s="6">
        <v>0.13997478156688498</v>
      </c>
    </row>
    <row r="18" spans="1:19" ht="15" customHeight="1" x14ac:dyDescent="0.2">
      <c r="A18" s="10">
        <v>10</v>
      </c>
      <c r="B18" s="10">
        <v>2.5</v>
      </c>
      <c r="C18" s="10">
        <v>25</v>
      </c>
      <c r="D18" s="10">
        <v>1</v>
      </c>
      <c r="E18" s="19">
        <v>464.61500000000001</v>
      </c>
      <c r="F18" s="10">
        <f t="shared" si="0"/>
        <v>0</v>
      </c>
      <c r="G18" s="3">
        <f t="shared" si="0"/>
        <v>2.6670932267988468</v>
      </c>
    </row>
    <row r="19" spans="1:19" ht="15" customHeight="1" x14ac:dyDescent="0.2">
      <c r="A19" s="10">
        <v>10</v>
      </c>
      <c r="B19" s="10">
        <v>25</v>
      </c>
      <c r="C19" s="10">
        <v>25</v>
      </c>
      <c r="D19" s="10">
        <v>10</v>
      </c>
      <c r="E19" s="19">
        <v>999.67899999999997</v>
      </c>
      <c r="F19" s="10">
        <f t="shared" si="0"/>
        <v>1</v>
      </c>
      <c r="G19" s="3">
        <f t="shared" si="0"/>
        <v>2.9998605690914508</v>
      </c>
    </row>
    <row r="20" spans="1:19" ht="15" customHeight="1" x14ac:dyDescent="0.2"/>
    <row r="21" spans="1:19" ht="15" customHeight="1" x14ac:dyDescent="0.2">
      <c r="A21" s="11" t="s">
        <v>4</v>
      </c>
      <c r="B21" s="12"/>
      <c r="C21" s="12"/>
      <c r="D21" s="12"/>
      <c r="E21" s="12"/>
      <c r="F21" s="13"/>
      <c r="H21" s="11" t="s">
        <v>41</v>
      </c>
      <c r="I21" s="12"/>
      <c r="J21" s="12"/>
      <c r="K21" s="12"/>
      <c r="L21" s="12"/>
      <c r="M21" s="13"/>
    </row>
    <row r="22" spans="1:19" ht="300" customHeight="1" x14ac:dyDescent="0.2">
      <c r="A22" s="42"/>
      <c r="B22" s="43"/>
      <c r="C22" s="43"/>
      <c r="D22" s="43"/>
      <c r="E22" s="43"/>
      <c r="F22" s="44"/>
      <c r="H22" s="42"/>
      <c r="I22" s="43"/>
      <c r="J22" s="43"/>
      <c r="K22" s="43"/>
      <c r="L22" s="43"/>
      <c r="M22" s="44"/>
    </row>
    <row r="23" spans="1:19" ht="15" customHeight="1" x14ac:dyDescent="0.2"/>
    <row r="24" spans="1:19" ht="15" customHeight="1" x14ac:dyDescent="0.2">
      <c r="A24" s="9" t="s">
        <v>40</v>
      </c>
      <c r="H24" s="9"/>
      <c r="I24" s="9"/>
      <c r="J24" s="9"/>
      <c r="K24" s="9"/>
      <c r="L24" s="9"/>
      <c r="M24" s="9"/>
      <c r="N24" s="9"/>
      <c r="O24" s="9"/>
      <c r="P24" s="9"/>
      <c r="Q24" s="9"/>
      <c r="R24" s="9"/>
      <c r="S24" s="9"/>
    </row>
    <row r="25" spans="1:19" ht="60" customHeight="1" x14ac:dyDescent="0.2">
      <c r="A25" s="37" t="s">
        <v>71</v>
      </c>
      <c r="B25" s="37"/>
      <c r="C25" s="37"/>
      <c r="D25" s="37"/>
      <c r="E25" s="37"/>
      <c r="F25" s="37"/>
      <c r="H25" s="9"/>
      <c r="I25" s="9"/>
      <c r="J25" s="9"/>
      <c r="K25" s="9"/>
      <c r="L25" s="9"/>
      <c r="M25" s="9"/>
      <c r="N25" s="9"/>
      <c r="O25" s="9"/>
      <c r="P25" s="9"/>
      <c r="Q25" s="9"/>
      <c r="R25" s="9"/>
      <c r="S25" s="9"/>
    </row>
    <row r="26" spans="1:19" ht="15" customHeight="1" x14ac:dyDescent="0.2">
      <c r="H26" s="9"/>
      <c r="I26" s="9"/>
      <c r="J26" s="9"/>
      <c r="K26" s="9"/>
      <c r="L26" s="9"/>
      <c r="M26" s="9"/>
      <c r="N26" s="9"/>
      <c r="O26" s="9"/>
      <c r="P26" s="9"/>
      <c r="Q26" s="9"/>
      <c r="R26" s="9"/>
      <c r="S26" s="9"/>
    </row>
    <row r="27" spans="1:19" ht="15" customHeight="1" x14ac:dyDescent="0.2">
      <c r="B27" s="10" t="s">
        <v>20</v>
      </c>
      <c r="C27" s="10" t="s">
        <v>21</v>
      </c>
    </row>
    <row r="28" spans="1:19" ht="15" customHeight="1" x14ac:dyDescent="0.2">
      <c r="A28" s="10" t="s">
        <v>68</v>
      </c>
      <c r="B28" s="10">
        <v>0.1</v>
      </c>
      <c r="C28" s="10">
        <v>2</v>
      </c>
    </row>
    <row r="29" spans="1:19" ht="15" customHeight="1" x14ac:dyDescent="0.2"/>
    <row r="30" spans="1:19" ht="15" customHeight="1" x14ac:dyDescent="0.2">
      <c r="A30" s="11" t="s">
        <v>27</v>
      </c>
      <c r="B30" s="12"/>
      <c r="C30" s="12"/>
      <c r="D30" s="12"/>
      <c r="E30" s="12"/>
      <c r="F30" s="13"/>
      <c r="H30" s="9"/>
    </row>
    <row r="31" spans="1:19" ht="100" customHeight="1" x14ac:dyDescent="0.2">
      <c r="A31" s="38" t="s">
        <v>77</v>
      </c>
      <c r="B31" s="39"/>
      <c r="C31" s="39"/>
      <c r="D31" s="39"/>
      <c r="E31" s="39"/>
      <c r="F31" s="40"/>
      <c r="H31" s="41"/>
      <c r="I31" s="41"/>
      <c r="J31" s="41"/>
      <c r="K31" s="41"/>
      <c r="L31" s="41"/>
      <c r="M31" s="41"/>
    </row>
    <row r="32" spans="1:19" ht="15" customHeight="1" x14ac:dyDescent="0.2"/>
    <row r="33" spans="1:19" ht="15" customHeight="1" x14ac:dyDescent="0.2">
      <c r="A33" s="9" t="s">
        <v>28</v>
      </c>
    </row>
    <row r="34" spans="1:19" ht="30" x14ac:dyDescent="0.15">
      <c r="A34" s="2" t="s">
        <v>16</v>
      </c>
      <c r="B34" s="2" t="s">
        <v>19</v>
      </c>
      <c r="C34" s="3" t="s">
        <v>3</v>
      </c>
      <c r="D34" s="2" t="s">
        <v>22</v>
      </c>
      <c r="E34" s="3" t="s">
        <v>15</v>
      </c>
      <c r="H34" s="49" t="s">
        <v>53</v>
      </c>
      <c r="I34" s="49"/>
      <c r="J34" s="49"/>
      <c r="K34" s="49"/>
    </row>
    <row r="35" spans="1:19" ht="15" customHeight="1" x14ac:dyDescent="0.15">
      <c r="A35" s="34">
        <v>1</v>
      </c>
      <c r="B35" s="34">
        <v>2.5</v>
      </c>
      <c r="C35" s="34">
        <v>25</v>
      </c>
      <c r="D35" s="34">
        <f>D17</f>
        <v>0.1</v>
      </c>
      <c r="E35" s="34">
        <f>E17</f>
        <v>47.015999999999998</v>
      </c>
      <c r="H35" s="22" t="s">
        <v>54</v>
      </c>
      <c r="I35" s="23" cm="1">
        <f t="array" ref="I35:J39">LINEST(E35:E39,D35:D39,TRUE,TRUE)</f>
        <v>454.75313432835821</v>
      </c>
      <c r="J35" s="23">
        <v>0.41041791044779075</v>
      </c>
      <c r="K35" s="24" t="s">
        <v>55</v>
      </c>
    </row>
    <row r="36" spans="1:19" ht="15" customHeight="1" x14ac:dyDescent="0.15">
      <c r="A36" s="34">
        <v>1</v>
      </c>
      <c r="B36" s="34">
        <v>5</v>
      </c>
      <c r="C36" s="34">
        <v>25</v>
      </c>
      <c r="D36" s="34">
        <v>0.2</v>
      </c>
      <c r="E36" s="34">
        <v>90.332999999999998</v>
      </c>
      <c r="H36" s="22" t="s">
        <v>56</v>
      </c>
      <c r="I36" s="23">
        <v>4.4490880349569375</v>
      </c>
      <c r="J36" s="23">
        <v>4.5806164872607269</v>
      </c>
      <c r="K36" s="24" t="s">
        <v>57</v>
      </c>
    </row>
    <row r="37" spans="1:19" ht="15" customHeight="1" x14ac:dyDescent="0.15">
      <c r="A37" s="34">
        <v>10</v>
      </c>
      <c r="B37" s="34">
        <v>1.25</v>
      </c>
      <c r="C37" s="34">
        <v>25</v>
      </c>
      <c r="D37" s="34">
        <v>0.5</v>
      </c>
      <c r="E37" s="34">
        <v>221.28800000000001</v>
      </c>
      <c r="H37" s="22" t="s">
        <v>58</v>
      </c>
      <c r="I37" s="25">
        <v>0.9997129304288187</v>
      </c>
      <c r="J37" s="23">
        <v>6.9097073045698778</v>
      </c>
      <c r="K37" s="24" t="s">
        <v>59</v>
      </c>
    </row>
    <row r="38" spans="1:19" ht="15" customHeight="1" x14ac:dyDescent="0.15">
      <c r="A38" s="34">
        <v>10</v>
      </c>
      <c r="B38" s="34">
        <v>2.5</v>
      </c>
      <c r="C38" s="34">
        <v>25</v>
      </c>
      <c r="D38" s="34">
        <f>D18</f>
        <v>1</v>
      </c>
      <c r="E38" s="34">
        <f>E18</f>
        <v>464.61500000000001</v>
      </c>
      <c r="H38" s="22" t="s">
        <v>60</v>
      </c>
      <c r="I38" s="23">
        <v>10447.428401920404</v>
      </c>
      <c r="J38" s="24">
        <v>3</v>
      </c>
      <c r="K38" s="24" t="s">
        <v>61</v>
      </c>
    </row>
    <row r="39" spans="1:19" ht="15" customHeight="1" x14ac:dyDescent="0.15">
      <c r="A39" s="34">
        <v>10</v>
      </c>
      <c r="B39" s="34">
        <v>5</v>
      </c>
      <c r="C39" s="34">
        <v>25</v>
      </c>
      <c r="D39" s="34">
        <v>2</v>
      </c>
      <c r="E39" s="34">
        <v>906.86199999999997</v>
      </c>
      <c r="H39" s="22" t="s">
        <v>62</v>
      </c>
      <c r="I39" s="26">
        <v>498802.5965936954</v>
      </c>
      <c r="J39" s="27">
        <v>143.23216510447898</v>
      </c>
      <c r="K39" s="24" t="s">
        <v>63</v>
      </c>
    </row>
    <row r="40" spans="1:19" ht="15" customHeight="1" x14ac:dyDescent="0.2">
      <c r="A40" s="3"/>
      <c r="B40" s="3"/>
      <c r="C40" s="3"/>
      <c r="D40" s="20"/>
      <c r="E40" s="20"/>
      <c r="H40" s="21"/>
      <c r="I40" s="21"/>
      <c r="J40" s="21"/>
      <c r="K40" s="21"/>
    </row>
    <row r="41" spans="1:19" ht="15" customHeight="1" x14ac:dyDescent="0.2">
      <c r="A41" s="3"/>
      <c r="B41" s="3"/>
      <c r="C41" s="3"/>
      <c r="D41" s="3"/>
      <c r="E41" s="3"/>
      <c r="H41" s="28" t="s">
        <v>64</v>
      </c>
      <c r="I41" s="29">
        <f>AVERAGE(E35:E39)</f>
        <v>346.02280000000002</v>
      </c>
      <c r="J41" s="21"/>
      <c r="K41" s="21"/>
    </row>
    <row r="42" spans="1:19" ht="15" customHeight="1" x14ac:dyDescent="0.2">
      <c r="A42" s="14"/>
      <c r="B42" s="14"/>
      <c r="C42" s="14"/>
      <c r="D42" s="14"/>
      <c r="E42" s="14"/>
      <c r="F42" s="14"/>
      <c r="G42" s="14"/>
      <c r="H42" s="28" t="s">
        <v>65</v>
      </c>
      <c r="I42" s="30">
        <f>VARPA(D35:D41)</f>
        <v>0.4824</v>
      </c>
      <c r="J42" s="21"/>
      <c r="K42" s="21"/>
    </row>
    <row r="43" spans="1:19" ht="15" customHeight="1" x14ac:dyDescent="0.2">
      <c r="A43" s="11" t="s">
        <v>4</v>
      </c>
      <c r="B43" s="12"/>
      <c r="C43" s="12"/>
      <c r="D43" s="12"/>
      <c r="E43" s="12"/>
      <c r="F43" s="13"/>
      <c r="H43" s="28" t="s">
        <v>66</v>
      </c>
      <c r="I43" s="31">
        <v>3.1819999999999999</v>
      </c>
      <c r="J43" s="21"/>
      <c r="K43" s="21"/>
    </row>
    <row r="44" spans="1:19" ht="300" customHeight="1" x14ac:dyDescent="0.2">
      <c r="A44" s="42"/>
      <c r="B44" s="43"/>
      <c r="C44" s="43"/>
      <c r="D44" s="43"/>
      <c r="E44" s="43"/>
      <c r="F44" s="44"/>
      <c r="H44" s="41"/>
      <c r="I44" s="41"/>
      <c r="J44" s="41"/>
      <c r="K44" s="41"/>
      <c r="L44" s="41"/>
      <c r="M44" s="41"/>
    </row>
    <row r="45" spans="1:19" ht="15" customHeight="1" x14ac:dyDescent="0.2">
      <c r="A45" s="3" t="s">
        <v>24</v>
      </c>
      <c r="B45" s="46" t="s">
        <v>73</v>
      </c>
      <c r="C45" s="45"/>
      <c r="D45" s="3" t="s">
        <v>26</v>
      </c>
      <c r="E45" s="48">
        <f>J37/I35*SQRT(1+1/E46+(C52-I41)^2/(I35^2*I42))</f>
        <v>1.6719703451989119E-2</v>
      </c>
      <c r="F45" s="48"/>
      <c r="G45" s="14"/>
    </row>
    <row r="46" spans="1:19" ht="15" customHeight="1" x14ac:dyDescent="0.2">
      <c r="A46" s="3" t="s">
        <v>25</v>
      </c>
      <c r="B46" s="46" t="s">
        <v>74</v>
      </c>
      <c r="C46" s="45"/>
      <c r="D46" s="3" t="s">
        <v>6</v>
      </c>
      <c r="E46" s="45">
        <f>COUNT(D35:D41)</f>
        <v>5</v>
      </c>
      <c r="F46" s="45"/>
      <c r="G46" s="14"/>
    </row>
    <row r="47" spans="1:19" ht="15" customHeight="1" x14ac:dyDescent="0.2">
      <c r="A47" s="14"/>
      <c r="B47" s="14"/>
      <c r="C47" s="14"/>
      <c r="D47" s="14"/>
      <c r="E47" s="14"/>
      <c r="F47" s="14"/>
      <c r="G47" s="14"/>
    </row>
    <row r="48" spans="1:19" ht="15" customHeight="1" x14ac:dyDescent="0.2">
      <c r="A48" s="9" t="s">
        <v>40</v>
      </c>
      <c r="H48" s="9"/>
      <c r="I48" s="9"/>
      <c r="J48" s="9"/>
      <c r="K48" s="9"/>
      <c r="L48" s="9"/>
      <c r="M48" s="9"/>
      <c r="N48" s="9"/>
      <c r="O48" s="9"/>
      <c r="P48" s="9"/>
      <c r="Q48" s="9"/>
      <c r="R48" s="9"/>
      <c r="S48" s="9"/>
    </row>
    <row r="49" spans="1:19" ht="82" customHeight="1" x14ac:dyDescent="0.2">
      <c r="A49" s="37" t="s">
        <v>72</v>
      </c>
      <c r="B49" s="37"/>
      <c r="C49" s="37"/>
      <c r="D49" s="37"/>
      <c r="E49" s="37"/>
      <c r="F49" s="37"/>
      <c r="I49" s="9"/>
      <c r="J49" s="9"/>
      <c r="K49" s="9"/>
      <c r="L49" s="9"/>
      <c r="M49" s="9"/>
      <c r="N49" s="9"/>
      <c r="O49" s="9"/>
      <c r="P49" s="9"/>
      <c r="Q49" s="9"/>
      <c r="R49" s="9"/>
      <c r="S49" s="9"/>
    </row>
    <row r="50" spans="1:19" ht="15" customHeight="1" x14ac:dyDescent="0.2">
      <c r="A50" s="14"/>
      <c r="B50" s="14"/>
      <c r="C50" s="14"/>
      <c r="D50" s="14"/>
      <c r="E50" s="14"/>
      <c r="F50" s="14"/>
      <c r="G50" s="14"/>
    </row>
    <row r="51" spans="1:19" ht="15" customHeight="1" x14ac:dyDescent="0.2">
      <c r="B51" s="10" t="s">
        <v>5</v>
      </c>
      <c r="C51" s="10" t="s">
        <v>15</v>
      </c>
      <c r="D51" s="10" t="s">
        <v>2</v>
      </c>
      <c r="E51" s="10" t="s">
        <v>1</v>
      </c>
      <c r="F51" s="14"/>
      <c r="G51" s="14"/>
    </row>
    <row r="52" spans="1:19" ht="15" customHeight="1" x14ac:dyDescent="0.2">
      <c r="A52" s="15" t="s">
        <v>0</v>
      </c>
      <c r="B52" s="10">
        <f>100*10/25</f>
        <v>40</v>
      </c>
      <c r="C52" s="10">
        <v>378.91800000000001</v>
      </c>
      <c r="D52" s="10">
        <f>(C52-J35)/I35*B52</f>
        <v>33.293455593095288</v>
      </c>
      <c r="E52" s="10">
        <f>B52*E45*I43</f>
        <v>2.1280838553691748</v>
      </c>
      <c r="F52" s="14"/>
      <c r="G52" s="14"/>
    </row>
    <row r="53" spans="1:19" ht="15" customHeight="1" x14ac:dyDescent="0.2">
      <c r="F53" s="14"/>
      <c r="G53" s="14"/>
    </row>
    <row r="54" spans="1:19" ht="15" customHeight="1" x14ac:dyDescent="0.2">
      <c r="A54" s="11" t="s">
        <v>42</v>
      </c>
      <c r="B54" s="12"/>
      <c r="C54" s="12"/>
      <c r="D54" s="12"/>
      <c r="E54" s="12"/>
      <c r="F54" s="13"/>
      <c r="G54" s="14"/>
    </row>
    <row r="55" spans="1:19" ht="200" customHeight="1" x14ac:dyDescent="0.2">
      <c r="A55" s="38" t="s">
        <v>75</v>
      </c>
      <c r="B55" s="39"/>
      <c r="C55" s="39"/>
      <c r="D55" s="39"/>
      <c r="E55" s="39"/>
      <c r="F55" s="40"/>
      <c r="H55" s="41"/>
      <c r="I55" s="41"/>
      <c r="J55" s="41"/>
      <c r="K55" s="41"/>
      <c r="L55" s="41"/>
      <c r="M55" s="41"/>
    </row>
    <row r="56" spans="1:19" ht="15" customHeight="1" x14ac:dyDescent="0.2">
      <c r="F56" s="14"/>
      <c r="G56" s="14"/>
    </row>
    <row r="57" spans="1:19" ht="15" customHeight="1" x14ac:dyDescent="0.2">
      <c r="A57" s="9" t="s">
        <v>29</v>
      </c>
      <c r="B57" s="14"/>
      <c r="C57" s="14"/>
      <c r="D57" s="14"/>
      <c r="E57" s="14"/>
      <c r="F57" s="14"/>
      <c r="G57" s="14"/>
    </row>
    <row r="58" spans="1:19" ht="15" customHeight="1" x14ac:dyDescent="0.2">
      <c r="A58" s="9" t="s">
        <v>30</v>
      </c>
      <c r="B58" s="14"/>
      <c r="C58" s="14"/>
      <c r="D58" s="14"/>
      <c r="E58" s="14"/>
      <c r="F58" s="14"/>
      <c r="G58" s="14"/>
    </row>
    <row r="59" spans="1:19" ht="30" x14ac:dyDescent="0.2">
      <c r="A59" s="2" t="s">
        <v>22</v>
      </c>
      <c r="B59" s="2" t="s">
        <v>15</v>
      </c>
    </row>
    <row r="60" spans="1:19" ht="15" customHeight="1" x14ac:dyDescent="0.2">
      <c r="A60" s="3">
        <v>0</v>
      </c>
      <c r="B60" s="3">
        <v>-6.5000000000000002E-2</v>
      </c>
      <c r="C60" s="14"/>
      <c r="D60" s="3" t="s">
        <v>49</v>
      </c>
      <c r="E60" s="3">
        <f>AVERAGE(B60:B69)</f>
        <v>3.8600000000000002E-2</v>
      </c>
      <c r="F60" s="14"/>
      <c r="G60" s="14"/>
    </row>
    <row r="61" spans="1:19" ht="15" customHeight="1" x14ac:dyDescent="0.2">
      <c r="A61" s="3">
        <v>0</v>
      </c>
      <c r="B61" s="3">
        <v>7.8E-2</v>
      </c>
      <c r="C61" s="14"/>
      <c r="D61" s="4" t="s">
        <v>50</v>
      </c>
      <c r="E61" s="3">
        <f>_xlfn.STDEV.S(B60:B69)</f>
        <v>4.7415890444730296E-2</v>
      </c>
      <c r="F61" s="14"/>
      <c r="G61" s="14"/>
    </row>
    <row r="62" spans="1:19" ht="15" customHeight="1" x14ac:dyDescent="0.2">
      <c r="A62" s="3">
        <v>0</v>
      </c>
      <c r="B62" s="3">
        <v>-1.7000000000000001E-2</v>
      </c>
      <c r="C62" s="14"/>
      <c r="D62" s="3" t="s">
        <v>51</v>
      </c>
      <c r="E62" s="3">
        <f>(E60-J35)/I35</f>
        <v>-8.1762583340286895E-4</v>
      </c>
      <c r="F62" s="14"/>
      <c r="G62" s="14"/>
    </row>
    <row r="63" spans="1:19" ht="15" customHeight="1" x14ac:dyDescent="0.2">
      <c r="A63" s="3">
        <v>0</v>
      </c>
      <c r="B63" s="3">
        <v>3.5000000000000003E-2</v>
      </c>
      <c r="C63" s="14"/>
      <c r="D63" s="10" t="s">
        <v>52</v>
      </c>
      <c r="E63" s="10">
        <f>E60+3*E61</f>
        <v>0.18084767133419088</v>
      </c>
      <c r="F63" s="14"/>
      <c r="G63" s="14"/>
    </row>
    <row r="64" spans="1:19" ht="15" customHeight="1" x14ac:dyDescent="0.2">
      <c r="A64" s="3">
        <v>0</v>
      </c>
      <c r="B64" s="3">
        <v>7.8E-2</v>
      </c>
      <c r="C64" s="14"/>
      <c r="D64" s="14"/>
      <c r="E64" s="14"/>
      <c r="F64" s="14"/>
      <c r="G64" s="14"/>
    </row>
    <row r="65" spans="1:19" ht="15" customHeight="1" x14ac:dyDescent="0.2">
      <c r="A65" s="3">
        <v>0</v>
      </c>
      <c r="B65" s="3">
        <v>6.4000000000000001E-2</v>
      </c>
      <c r="C65" s="14"/>
      <c r="D65" s="14"/>
      <c r="E65" s="14"/>
      <c r="F65" s="14"/>
      <c r="G65" s="14"/>
    </row>
    <row r="66" spans="1:19" ht="15" customHeight="1" x14ac:dyDescent="0.2">
      <c r="A66" s="3">
        <v>0</v>
      </c>
      <c r="B66" s="3">
        <v>4.9000000000000002E-2</v>
      </c>
      <c r="C66" s="14"/>
      <c r="D66" s="14"/>
      <c r="E66" s="14"/>
      <c r="F66" s="14"/>
      <c r="G66" s="14"/>
    </row>
    <row r="67" spans="1:19" ht="15" customHeight="1" x14ac:dyDescent="0.2">
      <c r="A67" s="3">
        <v>0</v>
      </c>
      <c r="B67" s="3">
        <v>4.4999999999999998E-2</v>
      </c>
      <c r="C67" s="14"/>
      <c r="D67" s="14"/>
      <c r="E67" s="14"/>
      <c r="F67" s="14"/>
      <c r="G67" s="14"/>
    </row>
    <row r="68" spans="1:19" ht="15" customHeight="1" x14ac:dyDescent="0.2">
      <c r="A68" s="3">
        <v>0</v>
      </c>
      <c r="B68" s="3">
        <v>8.7999999999999995E-2</v>
      </c>
      <c r="C68" s="14"/>
      <c r="D68" s="14"/>
      <c r="E68" s="14"/>
      <c r="F68" s="14"/>
      <c r="G68" s="14"/>
    </row>
    <row r="69" spans="1:19" ht="15" customHeight="1" x14ac:dyDescent="0.2">
      <c r="A69" s="3">
        <v>0</v>
      </c>
      <c r="B69" s="3">
        <v>3.1E-2</v>
      </c>
      <c r="C69" s="14"/>
      <c r="D69" s="14"/>
      <c r="E69" s="14"/>
      <c r="F69" s="14"/>
      <c r="G69" s="14"/>
    </row>
    <row r="70" spans="1:19" ht="15" customHeight="1" x14ac:dyDescent="0.2">
      <c r="A70" s="9"/>
      <c r="B70" s="14"/>
      <c r="C70" s="14"/>
      <c r="D70" s="14"/>
      <c r="E70" s="14"/>
      <c r="F70" s="14"/>
      <c r="G70" s="14"/>
    </row>
    <row r="71" spans="1:19" ht="15" customHeight="1" x14ac:dyDescent="0.2">
      <c r="A71" s="9" t="s">
        <v>32</v>
      </c>
      <c r="C71" s="14"/>
      <c r="D71" s="14"/>
      <c r="E71" s="14"/>
      <c r="F71" s="14"/>
      <c r="G71" s="14"/>
    </row>
    <row r="72" spans="1:19" ht="15" customHeight="1" x14ac:dyDescent="0.2">
      <c r="A72" s="3" t="s">
        <v>25</v>
      </c>
      <c r="B72" s="32">
        <f>J35</f>
        <v>0.41041791044779075</v>
      </c>
      <c r="C72" s="14"/>
      <c r="D72" s="14"/>
      <c r="E72" s="14"/>
      <c r="F72" s="14"/>
      <c r="G72" s="14"/>
    </row>
    <row r="73" spans="1:19" ht="15" customHeight="1" x14ac:dyDescent="0.2">
      <c r="A73" s="4" t="s">
        <v>33</v>
      </c>
      <c r="B73" s="18">
        <f>J37</f>
        <v>6.9097073045698778</v>
      </c>
      <c r="C73" s="14"/>
      <c r="D73" s="14"/>
      <c r="E73" s="14"/>
      <c r="F73" s="14"/>
      <c r="G73" s="14"/>
    </row>
    <row r="74" spans="1:19" ht="15" customHeight="1" x14ac:dyDescent="0.2">
      <c r="A74" s="4" t="s">
        <v>52</v>
      </c>
      <c r="B74" s="18">
        <f>B73+B72*3</f>
        <v>8.14096103591325</v>
      </c>
      <c r="C74" s="14"/>
      <c r="D74" s="14"/>
      <c r="E74" s="6">
        <f>B73+10*B72</f>
        <v>11.013886409047785</v>
      </c>
      <c r="F74" s="14"/>
      <c r="G74" s="14"/>
    </row>
    <row r="75" spans="1:19" ht="15" customHeight="1" x14ac:dyDescent="0.2">
      <c r="A75" s="3" t="s">
        <v>31</v>
      </c>
      <c r="B75" s="3">
        <f>(B74-$J$35)/$I$35</f>
        <v>1.6999427913527161E-2</v>
      </c>
      <c r="C75" s="14" t="s">
        <v>76</v>
      </c>
      <c r="D75" s="14" t="s">
        <v>80</v>
      </c>
      <c r="E75" s="3">
        <f>(E74-$J$35)/$I$35</f>
        <v>2.3316977274407687E-2</v>
      </c>
      <c r="F75" s="14"/>
      <c r="G75" s="14"/>
    </row>
    <row r="76" spans="1:19" ht="15" customHeight="1" x14ac:dyDescent="0.2">
      <c r="A76" s="14"/>
      <c r="B76" s="14"/>
      <c r="C76" s="14"/>
      <c r="D76" s="14"/>
      <c r="E76" s="14"/>
      <c r="F76" s="14"/>
      <c r="G76" s="14"/>
    </row>
    <row r="77" spans="1:19" ht="15" customHeight="1" x14ac:dyDescent="0.2">
      <c r="A77" s="11" t="s">
        <v>34</v>
      </c>
      <c r="B77" s="12"/>
      <c r="C77" s="12"/>
      <c r="D77" s="12"/>
      <c r="E77" s="12"/>
      <c r="F77" s="13"/>
      <c r="G77" s="14"/>
    </row>
    <row r="78" spans="1:19" ht="200" customHeight="1" x14ac:dyDescent="0.2">
      <c r="A78" s="38" t="s">
        <v>83</v>
      </c>
      <c r="B78" s="39"/>
      <c r="C78" s="39"/>
      <c r="D78" s="39"/>
      <c r="E78" s="39"/>
      <c r="F78" s="40"/>
      <c r="H78" s="41"/>
      <c r="I78" s="41"/>
      <c r="J78" s="41"/>
      <c r="K78" s="41"/>
      <c r="L78" s="41"/>
      <c r="M78" s="41"/>
    </row>
    <row r="79" spans="1:19" ht="15" customHeight="1" x14ac:dyDescent="0.2">
      <c r="A79" s="14"/>
      <c r="B79" s="14"/>
      <c r="C79" s="14"/>
      <c r="D79" s="14"/>
      <c r="E79" s="14"/>
      <c r="F79" s="14"/>
      <c r="G79" s="14"/>
      <c r="R79" s="6" t="s">
        <v>86</v>
      </c>
    </row>
    <row r="80" spans="1:19" ht="15" customHeight="1" x14ac:dyDescent="0.2">
      <c r="A80" s="9" t="s">
        <v>35</v>
      </c>
      <c r="B80" s="14"/>
      <c r="C80" s="14"/>
      <c r="D80" s="14"/>
      <c r="E80" s="14"/>
      <c r="F80" s="14"/>
      <c r="G80" s="14"/>
      <c r="O80" s="6" t="s">
        <v>87</v>
      </c>
      <c r="P80" s="6" t="s">
        <v>85</v>
      </c>
      <c r="R80" s="6" cm="1">
        <f t="array" ref="R80:S84">LINEST(O81:O85,P81:P85,1,1)</f>
        <v>0.22433573612523655</v>
      </c>
      <c r="S80" s="6">
        <v>1.0057046329341328</v>
      </c>
    </row>
    <row r="81" spans="1:19" ht="30" x14ac:dyDescent="0.2">
      <c r="A81" s="2" t="s">
        <v>22</v>
      </c>
      <c r="B81" s="2" t="s">
        <v>43</v>
      </c>
      <c r="C81" s="2" t="s">
        <v>44</v>
      </c>
      <c r="D81" s="3" t="s">
        <v>3</v>
      </c>
      <c r="E81" s="2" t="s">
        <v>36</v>
      </c>
      <c r="F81" s="3" t="s">
        <v>15</v>
      </c>
      <c r="O81" s="6">
        <f>$I$83/F82</f>
        <v>1.2344503074069941</v>
      </c>
      <c r="P81" s="6">
        <f>E82</f>
        <v>0.98857142857142855</v>
      </c>
      <c r="R81" s="6">
        <v>4.971242697265307E-3</v>
      </c>
      <c r="S81" s="6">
        <v>1.6299315376981954E-2</v>
      </c>
    </row>
    <row r="82" spans="1:19" ht="15" customHeight="1" x14ac:dyDescent="0.2">
      <c r="A82" s="3">
        <v>1</v>
      </c>
      <c r="B82" s="3">
        <f>$I$82</f>
        <v>2940.9999999999995</v>
      </c>
      <c r="C82" s="3">
        <v>1</v>
      </c>
      <c r="D82" s="3">
        <v>25</v>
      </c>
      <c r="E82" s="3">
        <f>C82/D82*$K$82</f>
        <v>0.98857142857142855</v>
      </c>
      <c r="F82" s="3">
        <v>376.37400000000002</v>
      </c>
      <c r="G82" s="14"/>
      <c r="H82" s="35" t="s">
        <v>81</v>
      </c>
      <c r="I82" s="35">
        <f>(0.2941*10^3)/(0.1)</f>
        <v>2940.9999999999995</v>
      </c>
      <c r="J82" s="33" t="s">
        <v>76</v>
      </c>
      <c r="K82" s="35">
        <f>I82/119</f>
        <v>24.714285714285712</v>
      </c>
      <c r="L82" s="6" t="s">
        <v>84</v>
      </c>
      <c r="O82" s="6">
        <f t="shared" ref="O82:O85" si="1">$I$83/F83</f>
        <v>1.4356896093542386</v>
      </c>
      <c r="P82" s="6">
        <f t="shared" ref="P82:P85" si="2">E83</f>
        <v>1.9771428571428571</v>
      </c>
      <c r="R82" s="6">
        <v>0.99852899230815773</v>
      </c>
      <c r="S82" s="6">
        <v>1.5540787442267714E-2</v>
      </c>
    </row>
    <row r="83" spans="1:19" ht="33" customHeight="1" x14ac:dyDescent="0.2">
      <c r="A83" s="3">
        <v>1</v>
      </c>
      <c r="B83" s="3">
        <f t="shared" ref="B83:B86" si="3">$I$82</f>
        <v>2940.9999999999995</v>
      </c>
      <c r="C83" s="3">
        <v>2</v>
      </c>
      <c r="D83" s="3">
        <v>25</v>
      </c>
      <c r="E83" s="3">
        <f t="shared" ref="E83:E86" si="4">C83/D83*$K$82</f>
        <v>1.9771428571428571</v>
      </c>
      <c r="F83" s="3">
        <v>323.61799999999999</v>
      </c>
      <c r="G83" s="14"/>
      <c r="H83" s="36" t="s">
        <v>82</v>
      </c>
      <c r="I83" s="35">
        <f>E38</f>
        <v>464.61500000000001</v>
      </c>
      <c r="J83" s="33"/>
      <c r="K83" s="33"/>
      <c r="O83" s="6">
        <f t="shared" si="1"/>
        <v>1.6850544197702801</v>
      </c>
      <c r="P83" s="6">
        <f t="shared" si="2"/>
        <v>2.9657142857142853</v>
      </c>
      <c r="R83" s="6">
        <v>2036.4182957962212</v>
      </c>
      <c r="S83" s="6">
        <v>3</v>
      </c>
    </row>
    <row r="84" spans="1:19" ht="15" customHeight="1" x14ac:dyDescent="0.2">
      <c r="A84" s="3">
        <v>1</v>
      </c>
      <c r="B84" s="3">
        <f t="shared" si="3"/>
        <v>2940.9999999999995</v>
      </c>
      <c r="C84" s="3">
        <v>3</v>
      </c>
      <c r="D84" s="3">
        <v>25</v>
      </c>
      <c r="E84" s="3">
        <f t="shared" si="4"/>
        <v>2.9657142857142853</v>
      </c>
      <c r="F84" s="3">
        <v>275.72699999999998</v>
      </c>
      <c r="G84" s="14"/>
      <c r="O84" s="6">
        <f t="shared" si="1"/>
        <v>1.8775054149290402</v>
      </c>
      <c r="P84" s="6">
        <f t="shared" si="2"/>
        <v>3.9542857142857142</v>
      </c>
      <c r="R84" s="6">
        <v>0.49182775248582888</v>
      </c>
      <c r="S84" s="6">
        <v>7.2454822297723757E-4</v>
      </c>
    </row>
    <row r="85" spans="1:19" ht="15" customHeight="1" x14ac:dyDescent="0.2">
      <c r="A85" s="3">
        <v>1</v>
      </c>
      <c r="B85" s="3">
        <f t="shared" si="3"/>
        <v>2940.9999999999995</v>
      </c>
      <c r="C85" s="3">
        <v>4</v>
      </c>
      <c r="D85" s="3">
        <v>25</v>
      </c>
      <c r="E85" s="3">
        <f t="shared" si="4"/>
        <v>3.9542857142857142</v>
      </c>
      <c r="F85" s="3">
        <v>247.464</v>
      </c>
      <c r="G85" s="14"/>
      <c r="O85" s="6">
        <f t="shared" si="1"/>
        <v>2.1224019003243342</v>
      </c>
      <c r="P85" s="6">
        <f t="shared" si="2"/>
        <v>4.9428571428571431</v>
      </c>
    </row>
    <row r="86" spans="1:19" ht="15" customHeight="1" x14ac:dyDescent="0.2">
      <c r="A86" s="3">
        <v>1</v>
      </c>
      <c r="B86" s="3">
        <f t="shared" si="3"/>
        <v>2940.9999999999995</v>
      </c>
      <c r="C86" s="3">
        <v>5</v>
      </c>
      <c r="D86" s="3">
        <v>25</v>
      </c>
      <c r="E86" s="3">
        <f t="shared" si="4"/>
        <v>4.9428571428571431</v>
      </c>
      <c r="F86" s="3">
        <v>218.91</v>
      </c>
      <c r="G86" s="14"/>
    </row>
    <row r="87" spans="1:19" ht="15" customHeight="1" x14ac:dyDescent="0.2">
      <c r="A87" s="3"/>
      <c r="B87" s="3"/>
      <c r="C87" s="3"/>
      <c r="D87" s="3"/>
      <c r="E87" s="3"/>
      <c r="F87" s="3"/>
      <c r="G87" s="14"/>
    </row>
    <row r="88" spans="1:19" ht="15" customHeight="1" x14ac:dyDescent="0.2">
      <c r="A88" s="3"/>
      <c r="B88" s="3"/>
      <c r="C88" s="3"/>
      <c r="D88" s="3"/>
      <c r="E88" s="3"/>
      <c r="F88" s="3"/>
      <c r="G88" s="14"/>
    </row>
    <row r="89" spans="1:19" ht="15" customHeight="1" x14ac:dyDescent="0.2">
      <c r="A89" s="9"/>
      <c r="B89" s="14"/>
      <c r="C89" s="14"/>
      <c r="D89" s="14"/>
      <c r="E89" s="14"/>
      <c r="F89" s="14"/>
      <c r="G89" s="14"/>
    </row>
    <row r="90" spans="1:19" ht="15" customHeight="1" x14ac:dyDescent="0.2">
      <c r="A90" s="11" t="s">
        <v>37</v>
      </c>
      <c r="B90" s="12"/>
      <c r="C90" s="12"/>
      <c r="D90" s="12"/>
      <c r="E90" s="12"/>
      <c r="F90" s="13"/>
      <c r="G90" s="14"/>
      <c r="H90" s="11" t="s">
        <v>38</v>
      </c>
      <c r="I90" s="12"/>
      <c r="J90" s="12"/>
      <c r="K90" s="12"/>
      <c r="L90" s="12"/>
      <c r="M90" s="13"/>
    </row>
    <row r="91" spans="1:19" ht="300" customHeight="1" x14ac:dyDescent="0.2">
      <c r="A91" s="42"/>
      <c r="B91" s="43"/>
      <c r="C91" s="43"/>
      <c r="D91" s="43"/>
      <c r="E91" s="43"/>
      <c r="F91" s="44"/>
      <c r="H91" s="42"/>
      <c r="I91" s="43"/>
      <c r="J91" s="43"/>
      <c r="K91" s="43"/>
      <c r="L91" s="43"/>
      <c r="M91" s="44"/>
      <c r="O91" s="6" t="s">
        <v>89</v>
      </c>
    </row>
    <row r="92" spans="1:19" ht="15" customHeight="1" x14ac:dyDescent="0.2">
      <c r="A92" s="9"/>
      <c r="B92" s="14"/>
      <c r="C92" s="14"/>
      <c r="D92" s="14"/>
      <c r="E92" s="14"/>
      <c r="F92" s="14"/>
      <c r="G92" s="14"/>
      <c r="H92" s="3" t="s">
        <v>24</v>
      </c>
      <c r="I92" s="45" t="s">
        <v>88</v>
      </c>
      <c r="J92" s="45"/>
      <c r="K92" s="3" t="s">
        <v>39</v>
      </c>
      <c r="L92" s="45" t="s">
        <v>88</v>
      </c>
      <c r="M92" s="45"/>
    </row>
    <row r="93" spans="1:19" ht="15" customHeight="1" x14ac:dyDescent="0.2">
      <c r="A93" s="9" t="s">
        <v>91</v>
      </c>
      <c r="B93" s="14"/>
      <c r="C93" s="14"/>
      <c r="D93" s="14"/>
      <c r="E93" s="14"/>
      <c r="F93" s="14"/>
      <c r="G93" s="14"/>
      <c r="H93" s="3" t="s">
        <v>25</v>
      </c>
      <c r="I93" s="47" t="s">
        <v>90</v>
      </c>
      <c r="J93" s="47"/>
      <c r="K93" s="3" t="s">
        <v>6</v>
      </c>
      <c r="L93" s="45">
        <v>5</v>
      </c>
      <c r="M93" s="45"/>
    </row>
    <row r="94" spans="1:19" ht="15" customHeight="1" x14ac:dyDescent="0.2">
      <c r="A94" s="9"/>
      <c r="B94" s="14"/>
      <c r="C94" s="14"/>
      <c r="D94" s="14"/>
      <c r="E94" s="14"/>
      <c r="F94" s="14"/>
      <c r="G94" s="14"/>
    </row>
    <row r="95" spans="1:19" ht="15" customHeight="1" x14ac:dyDescent="0.15">
      <c r="A95" s="1" t="s">
        <v>45</v>
      </c>
      <c r="B95" s="14"/>
      <c r="C95" s="14"/>
      <c r="D95" s="14"/>
      <c r="E95" s="14"/>
      <c r="F95" s="14"/>
      <c r="G95" s="14"/>
    </row>
    <row r="96" spans="1:19" ht="300" customHeight="1" x14ac:dyDescent="0.2">
      <c r="A96" s="37" t="s">
        <v>67</v>
      </c>
      <c r="B96" s="37"/>
      <c r="C96" s="37"/>
      <c r="D96" s="37"/>
      <c r="E96" s="37"/>
      <c r="F96" s="37"/>
    </row>
    <row r="97" spans="1:7" ht="15" customHeight="1" x14ac:dyDescent="0.2">
      <c r="A97" s="14"/>
      <c r="B97" s="14"/>
      <c r="C97" s="14"/>
      <c r="D97" s="14"/>
      <c r="E97" s="14"/>
      <c r="F97" s="14"/>
      <c r="G97" s="14"/>
    </row>
    <row r="98" spans="1:7" ht="15" customHeight="1" x14ac:dyDescent="0.2">
      <c r="A98" s="14"/>
      <c r="B98" s="14"/>
      <c r="C98" s="14"/>
      <c r="D98" s="14"/>
      <c r="E98" s="14"/>
      <c r="F98" s="14"/>
      <c r="G98" s="14"/>
    </row>
    <row r="99" spans="1:7" ht="15" customHeight="1" x14ac:dyDescent="0.2">
      <c r="A99" s="14"/>
      <c r="B99" s="14"/>
      <c r="C99" s="14"/>
      <c r="D99" s="14"/>
      <c r="E99" s="14"/>
      <c r="F99" s="14"/>
      <c r="G99" s="14"/>
    </row>
    <row r="100" spans="1:7" ht="15" customHeight="1" x14ac:dyDescent="0.2">
      <c r="A100" s="14"/>
      <c r="B100" s="14"/>
      <c r="C100" s="14"/>
      <c r="D100" s="14"/>
      <c r="E100" s="14"/>
      <c r="F100" s="14"/>
      <c r="G100" s="14"/>
    </row>
  </sheetData>
  <mergeCells count="27">
    <mergeCell ref="H34:K34"/>
    <mergeCell ref="A9:F9"/>
    <mergeCell ref="A6:F6"/>
    <mergeCell ref="A25:F25"/>
    <mergeCell ref="A31:F31"/>
    <mergeCell ref="H31:M31"/>
    <mergeCell ref="A22:F22"/>
    <mergeCell ref="H22:M22"/>
    <mergeCell ref="I12:L17"/>
    <mergeCell ref="A44:F44"/>
    <mergeCell ref="H44:M44"/>
    <mergeCell ref="B46:C46"/>
    <mergeCell ref="E45:F45"/>
    <mergeCell ref="E46:F46"/>
    <mergeCell ref="A55:F55"/>
    <mergeCell ref="H55:M55"/>
    <mergeCell ref="B45:C45"/>
    <mergeCell ref="A49:F49"/>
    <mergeCell ref="I93:J93"/>
    <mergeCell ref="L93:M93"/>
    <mergeCell ref="A96:F96"/>
    <mergeCell ref="A78:F78"/>
    <mergeCell ref="H78:M78"/>
    <mergeCell ref="A91:F91"/>
    <mergeCell ref="H91:M91"/>
    <mergeCell ref="I92:J92"/>
    <mergeCell ref="L92:M92"/>
  </mergeCells>
  <phoneticPr fontId="9"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Pràctica P</vt:lpstr>
      <vt:lpstr>Càlculs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IGNASI</dc:creator>
  <cp:lastModifiedBy>Domènec Huerta Estradé</cp:lastModifiedBy>
  <cp:lastPrinted>2021-04-14T15:27:52Z</cp:lastPrinted>
  <dcterms:created xsi:type="dcterms:W3CDTF">2021-03-22T14:48:22Z</dcterms:created>
  <dcterms:modified xsi:type="dcterms:W3CDTF">2025-05-17T12:35:19Z</dcterms:modified>
</cp:coreProperties>
</file>