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166925"/>
  <mc:AlternateContent xmlns:mc="http://schemas.openxmlformats.org/markup-compatibility/2006">
    <mc:Choice Requires="x15">
      <x15ac:absPath xmlns:x15ac="http://schemas.microsoft.com/office/spreadsheetml/2010/11/ac" url="/Users/sergio/Desktop/University/5nto/LACE/LACE/Sergio i Dome/"/>
    </mc:Choice>
  </mc:AlternateContent>
  <xr:revisionPtr revIDLastSave="0" documentId="13_ncr:1_{84CDCC98-C765-B148-971B-8A6C743415E7}" xr6:coauthVersionLast="47" xr6:coauthVersionMax="47" xr10:uidLastSave="{00000000-0000-0000-0000-000000000000}"/>
  <bookViews>
    <workbookView xWindow="0" yWindow="840" windowWidth="34200" windowHeight="21400" xr2:uid="{C1122783-245A-4FED-BDEB-F09B1698DCDF}"/>
  </bookViews>
  <sheets>
    <sheet name="Pràctica A" sheetId="1" r:id="rId1"/>
    <sheet name="Càlcu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1" l="1" a="1"/>
  <c r="K38" i="1" s="1"/>
  <c r="L47" i="1"/>
  <c r="B65" i="1"/>
  <c r="A38" i="1"/>
  <c r="D38" i="1" s="1"/>
  <c r="B29" i="1"/>
  <c r="B32" i="1" s="1"/>
  <c r="B22" i="1"/>
  <c r="F46" i="1" l="1"/>
  <c r="L46" i="1"/>
  <c r="A40" i="1" l="1"/>
  <c r="D40" i="1" s="1"/>
  <c r="A41" i="1"/>
  <c r="D41" i="1" s="1"/>
  <c r="A39" i="1"/>
  <c r="D39" i="1" s="1"/>
  <c r="A42" i="1"/>
  <c r="D42" i="1" s="1"/>
  <c r="F47" i="1" l="1"/>
  <c r="L49" i="1"/>
  <c r="D65" i="1" l="1"/>
  <c r="L48" i="1"/>
  <c r="E6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<sst xmlns="http://schemas.openxmlformats.org/spreadsheetml/2006/main" count="64" uniqueCount="59">
  <si>
    <t>Data:</t>
  </si>
  <si>
    <t>Grup pràctiques:</t>
  </si>
  <si>
    <t>Parella:</t>
  </si>
  <si>
    <t>Alumnes:</t>
  </si>
  <si>
    <t>Descripció de la mostra</t>
  </si>
  <si>
    <t>ppm</t>
  </si>
  <si>
    <t>Instrumentació</t>
  </si>
  <si>
    <t>ml enràs</t>
  </si>
  <si>
    <t>Factor dilució</t>
  </si>
  <si>
    <t>conc.mostra</t>
  </si>
  <si>
    <t>Int.confiança</t>
  </si>
  <si>
    <t>Mostra</t>
  </si>
  <si>
    <t>Corba Calibrat:</t>
  </si>
  <si>
    <t>pendent</t>
  </si>
  <si>
    <t>ord.origen</t>
  </si>
  <si>
    <t>n</t>
  </si>
  <si>
    <t>Comentaris:</t>
  </si>
  <si>
    <t>Sy/x</t>
  </si>
  <si>
    <t>Informe pràctica B</t>
  </si>
  <si>
    <r>
      <t>Estoc 1000 ppm K</t>
    </r>
    <r>
      <rPr>
        <b/>
        <vertAlign val="superscript"/>
        <sz val="12"/>
        <color theme="1"/>
        <rFont val="Arial"/>
        <family val="2"/>
      </rPr>
      <t>+</t>
    </r>
  </si>
  <si>
    <t>Pes KCl</t>
  </si>
  <si>
    <t>Preparació Patrons i mesures Emissió Atòmica</t>
  </si>
  <si>
    <t>senyal AES</t>
  </si>
  <si>
    <t>Senyal AES</t>
  </si>
  <si>
    <t>Estoc LiCl</t>
  </si>
  <si>
    <t>ml estoc LiCl</t>
  </si>
  <si>
    <t>Pes LiCl (g)</t>
  </si>
  <si>
    <t>g</t>
  </si>
  <si>
    <t>conc. dissol. treball</t>
  </si>
  <si>
    <t>ml dissol. treball afegits</t>
  </si>
  <si>
    <t>conc. dissol. Estoc</t>
  </si>
  <si>
    <t>7. Comentaris addicionals..... (només si vols destacar alguna cosa)</t>
  </si>
  <si>
    <r>
      <t>ml estoc K</t>
    </r>
    <r>
      <rPr>
        <vertAlign val="superscript"/>
        <sz val="11"/>
        <color theme="1"/>
        <rFont val="Arial"/>
        <family val="2"/>
      </rPr>
      <t>+</t>
    </r>
  </si>
  <si>
    <r>
      <t>conc. real estoc K</t>
    </r>
    <r>
      <rPr>
        <vertAlign val="superscript"/>
        <sz val="11"/>
        <color theme="1"/>
        <rFont val="Arial"/>
        <family val="2"/>
      </rPr>
      <t>+</t>
    </r>
  </si>
  <si>
    <r>
      <t>75 mg/L de Li</t>
    </r>
    <r>
      <rPr>
        <b/>
        <vertAlign val="superscript"/>
        <sz val="11"/>
        <color theme="1"/>
        <rFont val="Arial"/>
        <family val="2"/>
      </rPr>
      <t>+</t>
    </r>
    <r>
      <rPr>
        <b/>
        <sz val="11"/>
        <color theme="1"/>
        <rFont val="Arial"/>
        <family val="2"/>
      </rPr>
      <t xml:space="preserve"> en patrons i mostres:</t>
    </r>
  </si>
  <si>
    <r>
      <t>Patró (ppm K</t>
    </r>
    <r>
      <rPr>
        <vertAlign val="superscript"/>
        <sz val="11"/>
        <color theme="1"/>
        <rFont val="Arial"/>
        <family val="2"/>
      </rPr>
      <t>+</t>
    </r>
    <r>
      <rPr>
        <sz val="11"/>
        <color theme="1"/>
        <rFont val="Arial"/>
        <family val="2"/>
      </rPr>
      <t>)</t>
    </r>
  </si>
  <si>
    <r>
      <t>contingut K</t>
    </r>
    <r>
      <rPr>
        <b/>
        <vertAlign val="superscript"/>
        <sz val="11"/>
        <color theme="1"/>
        <rFont val="Arial"/>
        <family val="2"/>
      </rPr>
      <t>+</t>
    </r>
    <r>
      <rPr>
        <b/>
        <sz val="11"/>
        <color theme="1"/>
        <rFont val="Arial"/>
        <family val="2"/>
      </rPr>
      <t xml:space="preserve"> en mostre d'aigüa</t>
    </r>
  </si>
  <si>
    <t xml:space="preserve">GRUP 2.1 (G3) tarda - 2on torn </t>
  </si>
  <si>
    <t>Sergio Castañeiras Morales i Domènec Huerta Estradé</t>
  </si>
  <si>
    <t>T_18</t>
  </si>
  <si>
    <t>mL</t>
  </si>
  <si>
    <r>
      <t>[K</t>
    </r>
    <r>
      <rPr>
        <vertAlign val="superscript"/>
        <sz val="11"/>
        <color theme="1"/>
        <rFont val="Arial"/>
        <family val="2"/>
      </rPr>
      <t>+</t>
    </r>
    <r>
      <rPr>
        <sz val="11"/>
        <color theme="1"/>
        <rFont val="Arial"/>
        <family val="2"/>
      </rPr>
      <t>] (ppm)</t>
    </r>
  </si>
  <si>
    <t>y_{avg}</t>
  </si>
  <si>
    <t>S_{xx}</t>
  </si>
  <si>
    <t>R^2</t>
  </si>
  <si>
    <t>S_{y/x}</t>
  </si>
  <si>
    <t>F</t>
  </si>
  <si>
    <t>dof</t>
  </si>
  <si>
    <t>Ssreg</t>
  </si>
  <si>
    <t>Ssresid</t>
  </si>
  <si>
    <t>t_{tab}</t>
  </si>
  <si>
    <t>Emissions = m * [K+] + n</t>
  </si>
  <si>
    <t>m</t>
  </si>
  <si>
    <t>u_m</t>
  </si>
  <si>
    <t>u_ n</t>
  </si>
  <si>
    <t xml:space="preserve">S_0 </t>
  </si>
  <si>
    <r>
      <t>(0.18 ± 0.01) ppm</t>
    </r>
    <r>
      <rPr>
        <vertAlign val="superscript"/>
        <sz val="11"/>
        <color theme="1"/>
        <rFont val="Arial"/>
        <family val="2"/>
      </rPr>
      <t>-1</t>
    </r>
  </si>
  <si>
    <t>( 0.20 ± 0.02)</t>
  </si>
  <si>
    <t>(5 ± 1) 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</si>
</sst>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12"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b/>
      <vertAlign val="superscript"/>
      <sz val="12"/>
      <color theme="1"/>
      <name val="Arial"/>
      <family val="2"/>
    </font>
    <font>
      <vertAlign val="superscript"/>
      <sz val="11"/>
      <color theme="1"/>
      <name val="Arial"/>
      <family val="2"/>
    </font>
    <font>
      <b/>
      <vertAlign val="superscript"/>
      <sz val="11"/>
      <color theme="1"/>
      <name val="Arial"/>
      <family val="2"/>
    </font>
    <font>
      <sz val="12"/>
      <color rgb="FF000000"/>
      <name val="Arial"/>
      <family val="2"/>
    </font>
    <font>
      <b/>
      <sz val="11"/>
      <name val="Arial"/>
      <family val="2"/>
    </font>
    <font>
      <sz val="1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xf>
    <xf numFmtId="0" fontId="2" fillId="0" borderId="3" xfId="0" applyFont="1" applyBorder="1" applyAlignment="1">
      <alignment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2" fillId="0" borderId="11" xfId="0" applyFont="1" applyBorder="1" applyAlignment="1">
      <alignment vertical="center"/>
    </xf>
    <xf numFmtId="0" fontId="2" fillId="0" borderId="2" xfId="0" applyFont="1" applyBorder="1" applyAlignment="1">
      <alignment vertical="center"/>
    </xf>
    <xf numFmtId="0" fontId="2" fillId="0" borderId="0" xfId="0" applyFont="1"/>
    <xf numFmtId="0" fontId="1" fillId="0" borderId="0" xfId="0" applyFont="1" applyAlignment="1">
      <alignment horizontal="center" vertical="center"/>
    </xf>
    <xf numFmtId="0" fontId="9" fillId="0" borderId="0" xfId="0" applyFont="1"/>
    <xf numFmtId="14" fontId="1" fillId="0" borderId="0" xfId="0" applyNumberFormat="1" applyFont="1" applyAlignment="1">
      <alignment vertical="center"/>
    </xf>
    <xf numFmtId="16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2" fontId="1" fillId="0" borderId="1" xfId="0" applyNumberFormat="1" applyFont="1" applyBorder="1" applyAlignment="1">
      <alignment vertical="center"/>
    </xf>
    <xf numFmtId="164" fontId="1" fillId="0" borderId="1" xfId="0" applyNumberFormat="1" applyFont="1" applyBorder="1" applyAlignment="1">
      <alignment vertical="center"/>
    </xf>
    <xf numFmtId="2" fontId="1" fillId="0" borderId="1" xfId="0" applyNumberFormat="1" applyFont="1" applyBorder="1" applyAlignment="1">
      <alignment horizontal="center" vertical="center"/>
    </xf>
    <xf numFmtId="0" fontId="11" fillId="0" borderId="1" xfId="0" applyFont="1" applyBorder="1" applyAlignment="1">
      <alignment horizontal="right" vertical="center"/>
    </xf>
    <xf numFmtId="2" fontId="11" fillId="0" borderId="1" xfId="0" applyNumberFormat="1" applyFont="1" applyBorder="1" applyAlignment="1">
      <alignment vertical="center"/>
    </xf>
    <xf numFmtId="0" fontId="11" fillId="0" borderId="1" xfId="0" applyFont="1" applyBorder="1" applyAlignment="1">
      <alignment vertical="center"/>
    </xf>
    <xf numFmtId="166" fontId="10" fillId="0" borderId="1" xfId="0" applyNumberFormat="1" applyFont="1" applyBorder="1" applyAlignment="1">
      <alignment vertical="center"/>
    </xf>
    <xf numFmtId="166" fontId="1" fillId="0" borderId="1" xfId="0" applyNumberFormat="1" applyFont="1" applyBorder="1" applyAlignment="1">
      <alignment vertical="center"/>
    </xf>
    <xf numFmtId="1" fontId="1" fillId="0" borderId="1" xfId="0" applyNumberFormat="1" applyFont="1" applyBorder="1" applyAlignment="1">
      <alignment vertical="center"/>
    </xf>
    <xf numFmtId="0" fontId="1" fillId="0" borderId="1" xfId="0" applyFont="1" applyBorder="1" applyAlignment="1">
      <alignment horizontal="center" vertical="center"/>
    </xf>
    <xf numFmtId="0" fontId="10" fillId="0" borderId="1" xfId="0" applyFont="1" applyBorder="1" applyAlignment="1">
      <alignment horizontal="center"/>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Border="1" applyAlignment="1">
      <alignment vertical="center"/>
    </xf>
    <xf numFmtId="164" fontId="1" fillId="0" borderId="0" xfId="0" applyNumberFormat="1" applyFont="1" applyBorder="1" applyAlignment="1">
      <alignment vertical="center"/>
    </xf>
    <xf numFmtId="0" fontId="1" fillId="0" borderId="1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Calibratge amb patró extern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020126558685402E-2"/>
          <c:y val="0.14161893852615504"/>
          <c:w val="0.86670715200180881"/>
          <c:h val="0.68883807908891115"/>
        </c:manualLayout>
      </c:layout>
      <c:scatterChart>
        <c:scatterStyle val="lineMarker"/>
        <c:varyColors val="0"/>
        <c:ser>
          <c:idx val="0"/>
          <c:order val="0"/>
          <c:tx>
            <c:v>Calibratge amb patró extern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0434449618342383E-2"/>
                  <c:y val="0.20390428561607468"/>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Senyal AES = 0.1823*[K+] + 0.2047</a:t>
                    </a:r>
                    <a:br>
                      <a:rPr lang="en-US" baseline="0"/>
                    </a:br>
                    <a:r>
                      <a:rPr lang="en-US" baseline="0"/>
                      <a:t>R² = 0.9944</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A'!$D$38:$D$42</c:f>
              <c:numCache>
                <c:formatCode>0.0</c:formatCode>
                <c:ptCount val="5"/>
                <c:pt idx="0">
                  <c:v>0.50823204935622313</c:v>
                </c:pt>
                <c:pt idx="1">
                  <c:v>1.5246961480686694</c:v>
                </c:pt>
                <c:pt idx="2">
                  <c:v>2.0329281974248925</c:v>
                </c:pt>
                <c:pt idx="3">
                  <c:v>3.0493922961373388</c:v>
                </c:pt>
                <c:pt idx="4">
                  <c:v>4.065856394849785</c:v>
                </c:pt>
              </c:numCache>
            </c:numRef>
          </c:xVal>
          <c:yVal>
            <c:numRef>
              <c:f>'Pràctica A'!$E$38:$E$42</c:f>
              <c:numCache>
                <c:formatCode>General</c:formatCode>
                <c:ptCount val="5"/>
                <c:pt idx="0">
                  <c:v>0.2752</c:v>
                </c:pt>
                <c:pt idx="1">
                  <c:v>0.50580000000000003</c:v>
                </c:pt>
                <c:pt idx="2">
                  <c:v>0.5907</c:v>
                </c:pt>
                <c:pt idx="3">
                  <c:v>0.74939999999999996</c:v>
                </c:pt>
                <c:pt idx="4">
                  <c:v>0.94059999999999999</c:v>
                </c:pt>
              </c:numCache>
            </c:numRef>
          </c:yVal>
          <c:smooth val="0"/>
          <c:extLst>
            <c:ext xmlns:c16="http://schemas.microsoft.com/office/drawing/2014/chart" uri="{C3380CC4-5D6E-409C-BE32-E72D297353CC}">
              <c16:uniqueId val="{00000003-CAFB-F74C-92CF-596895EC7662}"/>
            </c:ext>
          </c:extLst>
        </c:ser>
        <c:dLbls>
          <c:showLegendKey val="0"/>
          <c:showVal val="0"/>
          <c:showCatName val="0"/>
          <c:showSerName val="0"/>
          <c:showPercent val="0"/>
          <c:showBubbleSize val="0"/>
        </c:dLbls>
        <c:axId val="197386047"/>
        <c:axId val="197385567"/>
      </c:scatterChart>
      <c:valAx>
        <c:axId val="19738604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30000">
                    <a:solidFill>
                      <a:schemeClr val="tx1">
                        <a:lumMod val="65000"/>
                        <a:lumOff val="35000"/>
                      </a:schemeClr>
                    </a:solidFill>
                    <a:latin typeface="+mn-lt"/>
                    <a:ea typeface="+mn-ea"/>
                    <a:cs typeface="+mn-cs"/>
                  </a:defRPr>
                </a:pPr>
                <a:r>
                  <a:rPr lang="en-US" sz="1400" b="1" baseline="30000"/>
                  <a:t>[K+] (ppm)</a:t>
                </a:r>
              </a:p>
            </c:rich>
          </c:tx>
          <c:overlay val="0"/>
          <c:spPr>
            <a:noFill/>
            <a:ln>
              <a:noFill/>
            </a:ln>
            <a:effectLst/>
          </c:spPr>
          <c:txPr>
            <a:bodyPr rot="0" spcFirstLastPara="1" vertOverflow="ellipsis" vert="horz" wrap="square" anchor="ctr" anchorCtr="1"/>
            <a:lstStyle/>
            <a:p>
              <a:pPr>
                <a:defRPr sz="1000" b="1" i="0" u="none" strike="noStrike" kern="1200" baseline="30000">
                  <a:solidFill>
                    <a:schemeClr val="tx1">
                      <a:lumMod val="65000"/>
                      <a:lumOff val="35000"/>
                    </a:schemeClr>
                  </a:solidFill>
                  <a:latin typeface="+mn-lt"/>
                  <a:ea typeface="+mn-ea"/>
                  <a:cs typeface="+mn-cs"/>
                </a:defRPr>
              </a:pPr>
              <a:endParaRPr lang="es-E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7385567"/>
        <c:crosses val="autoZero"/>
        <c:crossBetween val="midCat"/>
      </c:valAx>
      <c:valAx>
        <c:axId val="19738556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Senyal</a:t>
                </a:r>
                <a:r>
                  <a:rPr lang="en-US" b="1" baseline="0"/>
                  <a:t> AES</a:t>
                </a:r>
              </a:p>
              <a:p>
                <a:pPr>
                  <a:defRPr b="1"/>
                </a:pPr>
                <a:endParaRPr lang="en-US" b="1" baseline="0"/>
              </a:p>
              <a:p>
                <a:pPr>
                  <a:defRPr b="1"/>
                </a:pP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738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www.boe.es/buscar/doc.php?id=BOE-A-2023-628" TargetMode="Externa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16933</xdr:colOff>
      <xdr:row>4</xdr:row>
      <xdr:rowOff>194733</xdr:rowOff>
    </xdr:from>
    <xdr:to>
      <xdr:col>2</xdr:col>
      <xdr:colOff>232833</xdr:colOff>
      <xdr:row>7</xdr:row>
      <xdr:rowOff>728134</xdr:rowOff>
    </xdr:to>
    <xdr:sp macro="" textlink="">
      <xdr:nvSpPr>
        <xdr:cNvPr id="2" name="TextBox 1">
          <a:extLst>
            <a:ext uri="{FF2B5EF4-FFF2-40B4-BE49-F238E27FC236}">
              <a16:creationId xmlns:a16="http://schemas.microsoft.com/office/drawing/2014/main" id="{48B539A4-556E-1830-14D2-78498208B160}"/>
            </a:ext>
          </a:extLst>
        </xdr:cNvPr>
        <xdr:cNvSpPr txBox="1"/>
      </xdr:nvSpPr>
      <xdr:spPr>
        <a:xfrm>
          <a:off x="16933" y="1049866"/>
          <a:ext cx="3272367" cy="111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La mostra es tracta d'aigua de la font ubicada</a:t>
          </a:r>
          <a:r>
            <a:rPr lang="en-GB" sz="1100" baseline="0"/>
            <a:t> en la primera planta de la torre C7 parell de la facultat de ciències de la Universitat Autònoma de Barcelona el dia 13 maig de 2026 a les 14:40 h</a:t>
          </a:r>
          <a:endParaRPr lang="en-GB" sz="1100"/>
        </a:p>
      </xdr:txBody>
    </xdr:sp>
    <xdr:clientData/>
  </xdr:twoCellAnchor>
  <xdr:twoCellAnchor>
    <xdr:from>
      <xdr:col>0</xdr:col>
      <xdr:colOff>0</xdr:colOff>
      <xdr:row>9</xdr:row>
      <xdr:rowOff>426053</xdr:rowOff>
    </xdr:from>
    <xdr:to>
      <xdr:col>7</xdr:col>
      <xdr:colOff>612624</xdr:colOff>
      <xdr:row>16</xdr:row>
      <xdr:rowOff>204108</xdr:rowOff>
    </xdr:to>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1A1ABE25-7BDD-DBD7-0852-DE8ED7FFE7B5}"/>
                </a:ext>
              </a:extLst>
            </xdr:cNvPr>
            <xdr:cNvSpPr txBox="1"/>
          </xdr:nvSpPr>
          <xdr:spPr>
            <a:xfrm>
              <a:off x="0" y="4878613"/>
              <a:ext cx="8610600" cy="3383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Per a la detecció de la concentració de l’ió potassi en una mostra d’aigua potable, fem servir el model 55 AA de la marca Agilent, que permet quantificar mitjançant espectroscòpia d’emissió atòmica.</a:t>
              </a:r>
            </a:p>
            <a:p>
              <a:pPr algn="ctr"/>
              <a:endParaRPr lang="en-GB" b="0"/>
            </a:p>
            <a:p>
              <a:pPr algn="ctr"/>
              <a:r>
                <a:rPr lang="en-GB" b="0"/>
                <a:t>Com que utilitzem l’aparell en mode d’emissió, no es fa ús de cap làmpada. Tanmateix, és fonamental ajustar el detector dins el rang del potassi, utilitzant el patró de concentració més elevada per garantir una detecció precisa.</a:t>
              </a:r>
            </a:p>
            <a:p>
              <a:pPr marL="0" marR="0" lvl="0" indent="0" algn="ctr" defTabSz="914400" eaLnBrk="1" fontAlgn="auto" latinLnBrk="0" hangingPunct="1">
                <a:lnSpc>
                  <a:spcPct val="100000"/>
                </a:lnSpc>
                <a:spcBef>
                  <a:spcPts val="0"/>
                </a:spcBef>
                <a:spcAft>
                  <a:spcPts val="0"/>
                </a:spcAft>
                <a:buClrTx/>
                <a:buSzTx/>
                <a:buFontTx/>
                <a:buNone/>
                <a:tabLst/>
                <a:defRPr/>
              </a:pPr>
              <a:br>
                <a:rPr lang="en-GB" b="0"/>
              </a:br>
              <a:r>
                <a:rPr lang="en-GB" b="0"/>
                <a:t>Nota: És essencial mantenir l’equip net i lliure de residus, ja que es tracta d’una tècnica de quantificació atòmica molt sensible. La presència d’interferències pot provocar desviacions significatives en els resultats obtinguts. </a:t>
              </a:r>
              <a:br>
                <a:rPr lang="en-GB" b="0"/>
              </a:br>
              <a:endParaRPr lang="en-GB" b="0"/>
            </a:p>
            <a:p>
              <a:pPr algn="ctr"/>
              <a:r>
                <a:rPr lang="en-GB" b="0"/>
                <a:t>Després de realitzar el calibratge amb solucions patró de concentració coneguda de potassi, i aplicant la llei de Lambert-Beer, es pot quantificar la concentració d’aquest element mitjançant la construcció d’una recta de regressió.</a:t>
              </a:r>
              <a:br>
                <a:rPr lang="en-GB" b="0"/>
              </a:br>
              <a:endParaRPr lang="en-GB" b="0"/>
            </a:p>
            <a:p>
              <a:pPr algn="ctr"/>
              <a:r>
                <a:rPr lang="en-GB" b="0"/>
                <a:t>S’utilitza un tampó de clorur de liti en totes les substàncies analitzades amb l’objectiu d’afavorir la presència de potassi elemental en la flama i, per tant, augmentar la sensibilitat del mètode. Això és degut al fet que, en ionitzar-se, el liti allibera electrons, afavorint la reacció,</a:t>
              </a:r>
            </a:p>
            <a:p>
              <a:pPr algn="ctr"/>
              <a14:m>
                <m:oMathPara xmlns:m="http://schemas.openxmlformats.org/officeDocument/2006/math">
                  <m:oMathParaPr>
                    <m:jc m:val="centerGroup"/>
                  </m:oMathParaPr>
                  <m:oMath xmlns:m="http://schemas.openxmlformats.org/officeDocument/2006/math">
                    <m:r>
                      <a:rPr lang="es-ES" b="0" i="1">
                        <a:latin typeface="Cambria Math" panose="02040503050406030204" pitchFamily="18" charset="0"/>
                      </a:rPr>
                      <m:t>𝐾</m:t>
                    </m:r>
                    <m:r>
                      <a:rPr lang="es-ES" b="0" i="1">
                        <a:latin typeface="Cambria Math" panose="02040503050406030204" pitchFamily="18" charset="0"/>
                        <a:ea typeface="Cambria Math" panose="02040503050406030204" pitchFamily="18" charset="0"/>
                      </a:rPr>
                      <m:t>⟷</m:t>
                    </m:r>
                    <m:sSup>
                      <m:sSupPr>
                        <m:ctrlPr>
                          <a:rPr lang="es-ES" b="0" i="1">
                            <a:latin typeface="Cambria Math" panose="02040503050406030204" pitchFamily="18" charset="0"/>
                            <a:ea typeface="Cambria Math" panose="02040503050406030204" pitchFamily="18" charset="0"/>
                          </a:rPr>
                        </m:ctrlPr>
                      </m:sSupPr>
                      <m:e>
                        <m:r>
                          <a:rPr lang="es-ES" b="0" i="1">
                            <a:latin typeface="Cambria Math" panose="02040503050406030204" pitchFamily="18" charset="0"/>
                            <a:ea typeface="Cambria Math" panose="02040503050406030204" pitchFamily="18" charset="0"/>
                          </a:rPr>
                          <m:t>𝐾</m:t>
                        </m:r>
                      </m:e>
                      <m:sup>
                        <m:r>
                          <a:rPr lang="es-ES" b="0" i="1">
                            <a:latin typeface="Cambria Math" panose="02040503050406030204" pitchFamily="18" charset="0"/>
                            <a:ea typeface="Cambria Math" panose="02040503050406030204" pitchFamily="18" charset="0"/>
                          </a:rPr>
                          <m:t>+</m:t>
                        </m:r>
                      </m:sup>
                    </m:sSup>
                    <m:r>
                      <a:rPr lang="es-ES" b="0" i="1">
                        <a:latin typeface="Cambria Math" panose="02040503050406030204" pitchFamily="18" charset="0"/>
                        <a:ea typeface="Cambria Math" panose="02040503050406030204" pitchFamily="18" charset="0"/>
                      </a:rPr>
                      <m:t>+</m:t>
                    </m:r>
                    <m:sSup>
                      <m:sSupPr>
                        <m:ctrlPr>
                          <a:rPr lang="es-ES" b="0" i="1">
                            <a:latin typeface="Cambria Math" panose="02040503050406030204" pitchFamily="18" charset="0"/>
                            <a:ea typeface="Cambria Math" panose="02040503050406030204" pitchFamily="18" charset="0"/>
                          </a:rPr>
                        </m:ctrlPr>
                      </m:sSupPr>
                      <m:e>
                        <m:r>
                          <a:rPr lang="es-ES" b="0" i="1">
                            <a:latin typeface="Cambria Math" panose="02040503050406030204" pitchFamily="18" charset="0"/>
                            <a:ea typeface="Cambria Math" panose="02040503050406030204" pitchFamily="18" charset="0"/>
                          </a:rPr>
                          <m:t>𝑒</m:t>
                        </m:r>
                      </m:e>
                      <m:sup>
                        <m:r>
                          <a:rPr lang="es-ES" b="0" i="1">
                            <a:latin typeface="Cambria Math" panose="02040503050406030204" pitchFamily="18" charset="0"/>
                            <a:ea typeface="Cambria Math" panose="02040503050406030204" pitchFamily="18" charset="0"/>
                          </a:rPr>
                          <m:t>−</m:t>
                        </m:r>
                      </m:sup>
                    </m:sSup>
                  </m:oMath>
                </m:oMathPara>
              </a14:m>
              <a:endParaRPr lang="es-ES" b="0">
                <a:ea typeface="Cambria Math" panose="02040503050406030204" pitchFamily="18" charset="0"/>
              </a:endParaRPr>
            </a:p>
            <a:p>
              <a:pPr algn="ctr"/>
              <a:r>
                <a:rPr lang="en-GB" b="0"/>
                <a:t>cap a la generació de potassi</a:t>
              </a:r>
              <a:r>
                <a:rPr lang="en-GB" b="0" baseline="0"/>
                <a:t> elemental.</a:t>
              </a:r>
              <a:endParaRPr lang="en-GB" b="0"/>
            </a:p>
            <a:p>
              <a:pPr algn="ctr"/>
              <a:endParaRPr lang="en-GB" b="0"/>
            </a:p>
            <a:p>
              <a:pPr algn="ctr"/>
              <a:r>
                <a:rPr lang="en-GB" b="0"/>
                <a:t>Nota: El color de la flama canvia a un vermell intens en presència de liti, cosa que reflecteix qualitativament la presència d’aquest element en la mostra o solució patró. </a:t>
              </a:r>
              <a:br>
                <a:rPr lang="en-GB" b="0"/>
              </a:br>
              <a:endParaRPr lang="en-GB" b="0"/>
            </a:p>
          </xdr:txBody>
        </xdr:sp>
      </mc:Choice>
      <mc:Fallback>
        <xdr:sp macro="" textlink="">
          <xdr:nvSpPr>
            <xdr:cNvPr id="3" name="TextBox 2">
              <a:extLst>
                <a:ext uri="{FF2B5EF4-FFF2-40B4-BE49-F238E27FC236}">
                  <a16:creationId xmlns:a16="http://schemas.microsoft.com/office/drawing/2014/main" id="{1A1ABE25-7BDD-DBD7-0852-DE8ED7FFE7B5}"/>
                </a:ext>
              </a:extLst>
            </xdr:cNvPr>
            <xdr:cNvSpPr txBox="1"/>
          </xdr:nvSpPr>
          <xdr:spPr>
            <a:xfrm>
              <a:off x="0" y="4878613"/>
              <a:ext cx="8610600" cy="33839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Per a la detecció de la concentració de l’ió potassi en una mostra d’aigua potable, fem servir el model 55 AA de la marca Agilent, que permet quantificar mitjançant espectroscòpia d’emissió atòmica.</a:t>
              </a:r>
            </a:p>
            <a:p>
              <a:pPr algn="ctr"/>
              <a:endParaRPr lang="en-GB" b="0"/>
            </a:p>
            <a:p>
              <a:pPr algn="ctr"/>
              <a:r>
                <a:rPr lang="en-GB" b="0"/>
                <a:t>Com que utilitzem l’aparell en mode d’emissió, no es fa ús de cap làmpada. Tanmateix, és fonamental ajustar el detector dins el rang del potassi, utilitzant el patró de concentració més elevada per garantir una detecció precisa.</a:t>
              </a:r>
            </a:p>
            <a:p>
              <a:pPr marL="0" marR="0" lvl="0" indent="0" algn="ctr" defTabSz="914400" eaLnBrk="1" fontAlgn="auto" latinLnBrk="0" hangingPunct="1">
                <a:lnSpc>
                  <a:spcPct val="100000"/>
                </a:lnSpc>
                <a:spcBef>
                  <a:spcPts val="0"/>
                </a:spcBef>
                <a:spcAft>
                  <a:spcPts val="0"/>
                </a:spcAft>
                <a:buClrTx/>
                <a:buSzTx/>
                <a:buFontTx/>
                <a:buNone/>
                <a:tabLst/>
                <a:defRPr/>
              </a:pPr>
              <a:br>
                <a:rPr lang="en-GB" b="0"/>
              </a:br>
              <a:r>
                <a:rPr lang="en-GB" b="0"/>
                <a:t>Nota: És essencial mantenir l’equip net i lliure de residus, ja que es tracta d’una tècnica de quantificació atòmica molt sensible. La presència d’interferències pot provocar desviacions significatives en els resultats obtinguts. </a:t>
              </a:r>
              <a:br>
                <a:rPr lang="en-GB" b="0"/>
              </a:br>
              <a:endParaRPr lang="en-GB" b="0"/>
            </a:p>
            <a:p>
              <a:pPr algn="ctr"/>
              <a:r>
                <a:rPr lang="en-GB" b="0"/>
                <a:t>Després de realitzar el calibratge amb solucions patró de concentració coneguda de potassi, i aplicant la llei de Lambert-Beer, es pot quantificar la concentració d’aquest element mitjançant la construcció d’una recta de regressió.</a:t>
              </a:r>
              <a:br>
                <a:rPr lang="en-GB" b="0"/>
              </a:br>
              <a:endParaRPr lang="en-GB" b="0"/>
            </a:p>
            <a:p>
              <a:pPr algn="ctr"/>
              <a:r>
                <a:rPr lang="en-GB" b="0"/>
                <a:t>S’utilitza un tampó de clorur de liti en totes les substàncies analitzades amb l’objectiu d’afavorir la presència de potassi elemental en la flama i, per tant, augmentar la sensibilitat del mètode. Això és degut al fet que, en ionitzar-se, el liti allibera electrons, afavorint la reacció,</a:t>
              </a:r>
            </a:p>
            <a:p>
              <a:pPr algn="ctr"/>
              <a:r>
                <a:rPr lang="es-ES" b="0" i="0">
                  <a:latin typeface="Cambria Math" panose="02040503050406030204" pitchFamily="18" charset="0"/>
                </a:rPr>
                <a:t>𝐾</a:t>
              </a:r>
              <a:r>
                <a:rPr lang="es-ES" b="0" i="0">
                  <a:latin typeface="Cambria Math" panose="02040503050406030204" pitchFamily="18" charset="0"/>
                  <a:ea typeface="Cambria Math" panose="02040503050406030204" pitchFamily="18" charset="0"/>
                </a:rPr>
                <a:t>⟷𝐾^++𝑒^−</a:t>
              </a:r>
              <a:endParaRPr lang="es-ES" b="0">
                <a:ea typeface="Cambria Math" panose="02040503050406030204" pitchFamily="18" charset="0"/>
              </a:endParaRPr>
            </a:p>
            <a:p>
              <a:pPr algn="ctr"/>
              <a:r>
                <a:rPr lang="en-GB" b="0"/>
                <a:t>cap a la generació de potassi</a:t>
              </a:r>
              <a:r>
                <a:rPr lang="en-GB" b="0" baseline="0"/>
                <a:t> elemental.</a:t>
              </a:r>
              <a:endParaRPr lang="en-GB" b="0"/>
            </a:p>
            <a:p>
              <a:pPr algn="ctr"/>
              <a:endParaRPr lang="en-GB" b="0"/>
            </a:p>
            <a:p>
              <a:pPr algn="ctr"/>
              <a:r>
                <a:rPr lang="en-GB" b="0"/>
                <a:t>Nota: El color de la flama canvia a un vermell intens en presència de liti, cosa que reflecteix qualitativament la presència d’aquest element en la mostra o solució patró. </a:t>
              </a:r>
              <a:br>
                <a:rPr lang="en-GB" b="0"/>
              </a:br>
              <a:endParaRPr lang="en-GB" b="0"/>
            </a:p>
          </xdr:txBody>
        </xdr:sp>
      </mc:Fallback>
    </mc:AlternateContent>
    <xdr:clientData/>
  </xdr:twoCellAnchor>
  <xdr:twoCellAnchor>
    <xdr:from>
      <xdr:col>0</xdr:col>
      <xdr:colOff>53341</xdr:colOff>
      <xdr:row>47</xdr:row>
      <xdr:rowOff>22860</xdr:rowOff>
    </xdr:from>
    <xdr:to>
      <xdr:col>5</xdr:col>
      <xdr:colOff>716281</xdr:colOff>
      <xdr:row>58</xdr:row>
      <xdr:rowOff>198120</xdr:rowOff>
    </xdr:to>
    <xdr:graphicFrame macro="">
      <xdr:nvGraphicFramePr>
        <xdr:cNvPr id="4" name="Chart 1">
          <a:extLst>
            <a:ext uri="{FF2B5EF4-FFF2-40B4-BE49-F238E27FC236}">
              <a16:creationId xmlns:a16="http://schemas.microsoft.com/office/drawing/2014/main" id="{DC4E4686-D601-2A48-B656-46C5B349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8467</xdr:colOff>
      <xdr:row>59</xdr:row>
      <xdr:rowOff>16932</xdr:rowOff>
    </xdr:from>
    <xdr:to>
      <xdr:col>5</xdr:col>
      <xdr:colOff>855134</xdr:colOff>
      <xdr:row>62</xdr:row>
      <xdr:rowOff>7559</xdr:rowOff>
    </xdr:to>
    <xdr:sp macro="" textlink="">
      <xdr:nvSpPr>
        <xdr:cNvPr id="7" name="TextBox 6">
          <a:extLst>
            <a:ext uri="{FF2B5EF4-FFF2-40B4-BE49-F238E27FC236}">
              <a16:creationId xmlns:a16="http://schemas.microsoft.com/office/drawing/2014/main" id="{47BAECD8-B0FD-29D5-C824-32C6BF77A2FA}"/>
            </a:ext>
          </a:extLst>
        </xdr:cNvPr>
        <xdr:cNvSpPr txBox="1"/>
      </xdr:nvSpPr>
      <xdr:spPr>
        <a:xfrm>
          <a:off x="1973943" y="20752706"/>
          <a:ext cx="5125358" cy="116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Hem</a:t>
          </a:r>
          <a:r>
            <a:rPr lang="en-GB" sz="1100" baseline="0"/>
            <a:t> fet una prova de la senyal emessa per la mostra i patrons en absència de liti. El resultat ha estat una senyal molt baixa, doncs el potassi en trobar-se majoritariament en estat ionitzat no emet en el rang observat. Ara bé, en afegir el liti la senyal ha augmentat de forma considerable donant lloc a la recta observada.</a:t>
          </a:r>
          <a:endParaRPr lang="en-GB" sz="1100"/>
        </a:p>
      </xdr:txBody>
    </xdr:sp>
    <xdr:clientData/>
  </xdr:twoCellAnchor>
  <xdr:twoCellAnchor>
    <xdr:from>
      <xdr:col>2</xdr:col>
      <xdr:colOff>343778</xdr:colOff>
      <xdr:row>5</xdr:row>
      <xdr:rowOff>23395</xdr:rowOff>
    </xdr:from>
    <xdr:to>
      <xdr:col>7</xdr:col>
      <xdr:colOff>658517</xdr:colOff>
      <xdr:row>9</xdr:row>
      <xdr:rowOff>94074</xdr:rowOff>
    </xdr:to>
    <xdr:sp macro="" textlink="">
      <xdr:nvSpPr>
        <xdr:cNvPr id="5" name="TextBox 4">
          <a:hlinkClick xmlns:r="http://schemas.openxmlformats.org/officeDocument/2006/relationships" r:id="rId2"/>
          <a:extLst>
            <a:ext uri="{FF2B5EF4-FFF2-40B4-BE49-F238E27FC236}">
              <a16:creationId xmlns:a16="http://schemas.microsoft.com/office/drawing/2014/main" id="{40BE7DFB-12C8-7575-2BC0-075224D61272}"/>
            </a:ext>
          </a:extLst>
        </xdr:cNvPr>
        <xdr:cNvSpPr txBox="1"/>
      </xdr:nvSpPr>
      <xdr:spPr>
        <a:xfrm>
          <a:off x="3389426" y="1046451"/>
          <a:ext cx="5277147" cy="3516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La normativa actual estipula</a:t>
          </a:r>
          <a:r>
            <a:rPr lang="en-GB" sz="1100" baseline="0"/>
            <a:t>,</a:t>
          </a:r>
        </a:p>
        <a:p>
          <a:pPr algn="ctr"/>
          <a:r>
            <a:rPr lang="en-GB" sz="1100" baseline="0"/>
            <a:t>Font : Boletín Oficial del Estado (https://www.boe.es/buscar/doc.php?id=BOE-A-2023-628)</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a:t>
          </a:r>
          <a:r>
            <a:rPr lang="en-GB" sz="1100" b="0" i="1">
              <a:solidFill>
                <a:schemeClr val="dk1"/>
              </a:solidFill>
              <a:effectLst/>
              <a:latin typeface="+mn-lt"/>
              <a:ea typeface="+mn-ea"/>
              <a:cs typeface="+mn-cs"/>
            </a:rPr>
            <a:t>Real Decreto 3/2023, de 10 de enero, por el que se establecen los criterios técnico-sanitarios de la calidad del agua de consumo, su control y suministro."</a:t>
          </a:r>
          <a:endParaRPr lang="en-GB" sz="1100" i="1" baseline="0"/>
        </a:p>
        <a:p>
          <a:pPr algn="ctr"/>
          <a:r>
            <a:rPr lang="en-GB" sz="1100" b="0" i="0">
              <a:solidFill>
                <a:schemeClr val="dk1"/>
              </a:solidFill>
              <a:effectLst/>
              <a:latin typeface="+mn-lt"/>
              <a:ea typeface="+mn-ea"/>
              <a:cs typeface="+mn-cs"/>
            </a:rPr>
            <a:t>"</a:t>
          </a:r>
          <a:r>
            <a:rPr lang="en-GB" sz="1100" b="0" i="1">
              <a:solidFill>
                <a:schemeClr val="dk1"/>
              </a:solidFill>
              <a:effectLst/>
              <a:latin typeface="+mn-lt"/>
              <a:ea typeface="+mn-ea"/>
              <a:cs typeface="+mn-cs"/>
            </a:rPr>
            <a:t>Tabla 7. Valores de referencia de los parámetros que caracterizan el agua." ... </a:t>
          </a:r>
          <a:r>
            <a:rPr lang="en-GB" sz="1100" b="0" i="0">
              <a:solidFill>
                <a:schemeClr val="dk1"/>
              </a:solidFill>
              <a:effectLst/>
              <a:latin typeface="+mn-lt"/>
              <a:ea typeface="+mn-ea"/>
              <a:cs typeface="+mn-cs"/>
            </a:rPr>
            <a:t>"</a:t>
          </a:r>
          <a:r>
            <a:rPr lang="en-GB" i="1">
              <a:effectLst/>
            </a:rPr>
            <a:t> </a:t>
          </a:r>
          <a:r>
            <a:rPr lang="en-GB" sz="1100" b="0" i="1">
              <a:solidFill>
                <a:schemeClr val="dk1"/>
              </a:solidFill>
              <a:effectLst/>
              <a:latin typeface="+mn-lt"/>
              <a:ea typeface="+mn-ea"/>
              <a:cs typeface="+mn-cs"/>
            </a:rPr>
            <a:t>Valor de referencia</a:t>
          </a:r>
          <a:r>
            <a:rPr lang="en-GB" sz="1100" b="0" i="1" baseline="0">
              <a:solidFill>
                <a:schemeClr val="dk1"/>
              </a:solidFill>
              <a:effectLst/>
              <a:latin typeface="+mn-lt"/>
              <a:ea typeface="+mn-ea"/>
              <a:cs typeface="+mn-cs"/>
            </a:rPr>
            <a:t> </a:t>
          </a:r>
          <a:r>
            <a:rPr lang="en-GB" sz="1100" b="0" i="0" baseline="0">
              <a:solidFill>
                <a:schemeClr val="dk1"/>
              </a:solidFill>
              <a:effectLst/>
              <a:latin typeface="+mn-lt"/>
              <a:ea typeface="+mn-ea"/>
              <a:cs typeface="+mn-cs"/>
            </a:rPr>
            <a:t>- </a:t>
          </a:r>
          <a:r>
            <a:rPr lang="en-GB" i="1">
              <a:effectLst/>
            </a:rPr>
            <a:t>Potasio</a:t>
          </a:r>
          <a:r>
            <a:rPr lang="en-GB" i="1" baseline="0">
              <a:effectLst/>
            </a:rPr>
            <a:t> </a:t>
          </a:r>
          <a:r>
            <a:rPr lang="en-GB" i="1">
              <a:effectLst/>
            </a:rPr>
            <a:t>10mg/L</a:t>
          </a:r>
          <a:r>
            <a:rPr lang="en-GB" sz="1100" b="0" i="0">
              <a:solidFill>
                <a:schemeClr val="dk1"/>
              </a:solidFill>
              <a:effectLst/>
              <a:latin typeface="+mn-lt"/>
              <a:ea typeface="+mn-ea"/>
              <a:cs typeface="+mn-cs"/>
            </a:rPr>
            <a:t>".</a:t>
          </a:r>
        </a:p>
        <a:p>
          <a:pPr algn="ctr"/>
          <a:endParaRPr lang="en-GB" sz="1100" b="0" i="0">
            <a:solidFill>
              <a:schemeClr val="dk1"/>
            </a:solidFill>
            <a:effectLst/>
            <a:latin typeface="+mn-lt"/>
            <a:ea typeface="+mn-ea"/>
            <a:cs typeface="+mn-cs"/>
          </a:endParaRPr>
        </a:p>
        <a:p>
          <a:pPr algn="ctr"/>
          <a:r>
            <a:rPr lang="en-GB" sz="1100" b="0" i="0">
              <a:solidFill>
                <a:schemeClr val="dk1"/>
              </a:solidFill>
              <a:effectLst/>
              <a:latin typeface="+mn-lt"/>
              <a:ea typeface="+mn-ea"/>
              <a:cs typeface="+mn-cs"/>
            </a:rPr>
            <a:t>Remarquem</a:t>
          </a:r>
          <a:r>
            <a:rPr lang="en-GB" sz="1100" b="0" i="0" baseline="0">
              <a:solidFill>
                <a:schemeClr val="dk1"/>
              </a:solidFill>
              <a:effectLst/>
              <a:latin typeface="+mn-lt"/>
              <a:ea typeface="+mn-ea"/>
              <a:cs typeface="+mn-cs"/>
            </a:rPr>
            <a:t> que se trata d'un "valor de referència" i no pas un límit estipulat, de fet la normativa actual no estipula res al respecte com a límit de la concentació de potassi en aigua potable. Ara bé si ens enderrerim a la normativa de 1990 tenim que,</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aseline="0"/>
        </a:p>
        <a:p>
          <a:pPr marL="0" marR="0" lvl="0" indent="0" algn="ctr" defTabSz="914400" eaLnBrk="1" fontAlgn="auto" latinLnBrk="0" hangingPunct="1">
            <a:lnSpc>
              <a:spcPct val="100000"/>
            </a:lnSpc>
            <a:spcBef>
              <a:spcPts val="0"/>
            </a:spcBef>
            <a:spcAft>
              <a:spcPts val="0"/>
            </a:spcAft>
            <a:buClrTx/>
            <a:buSzTx/>
            <a:buFontTx/>
            <a:buNone/>
            <a:tabLst/>
            <a:defRPr/>
          </a:pPr>
          <a:r>
            <a:rPr lang="en-GB" sz="1100" baseline="0"/>
            <a:t>Font : Boletín Oficial del Estado (https://www.boe.es/buscar/doc.php?id=BOE-A-2023-628)</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t>"</a:t>
          </a:r>
          <a:r>
            <a:rPr lang="en-GB" sz="1100" b="0" i="0">
              <a:solidFill>
                <a:schemeClr val="dk1"/>
              </a:solidFill>
              <a:effectLst/>
              <a:latin typeface="+mn-lt"/>
              <a:ea typeface="+mn-ea"/>
              <a:cs typeface="+mn-cs"/>
            </a:rPr>
            <a:t>Real Decreto 1138/1990, de 14 de septiembre, por el que se aprueba la Reglamentación Técnico-Sanitaria para el abastecimiento y control de calidad de las aguas potables de consumo público."</a:t>
          </a:r>
          <a:r>
            <a:rPr lang="en-GB" sz="1100" b="0" i="0" baseline="0">
              <a:solidFill>
                <a:schemeClr val="dk1"/>
              </a:solidFill>
              <a:effectLst/>
              <a:latin typeface="+mn-lt"/>
              <a:ea typeface="+mn-ea"/>
              <a:cs typeface="+mn-cs"/>
            </a:rPr>
            <a:t>..." </a:t>
          </a:r>
          <a:r>
            <a:rPr lang="en-GB" sz="1100" b="0" i="1">
              <a:solidFill>
                <a:schemeClr val="dk1"/>
              </a:solidFill>
              <a:effectLst/>
              <a:latin typeface="+mn-lt"/>
              <a:ea typeface="+mn-ea"/>
              <a:cs typeface="+mn-cs"/>
            </a:rPr>
            <a:t>Valor de referencia</a:t>
          </a:r>
          <a:r>
            <a:rPr lang="en-GB" sz="1100" b="0" i="1" baseline="0">
              <a:solidFill>
                <a:schemeClr val="dk1"/>
              </a:solidFill>
              <a:effectLst/>
              <a:latin typeface="+mn-lt"/>
              <a:ea typeface="+mn-ea"/>
              <a:cs typeface="+mn-cs"/>
            </a:rPr>
            <a:t> </a:t>
          </a:r>
          <a:r>
            <a:rPr lang="en-GB" sz="1100" b="0" i="0" baseline="0">
              <a:solidFill>
                <a:schemeClr val="dk1"/>
              </a:solidFill>
              <a:effectLst/>
              <a:latin typeface="+mn-lt"/>
              <a:ea typeface="+mn-ea"/>
              <a:cs typeface="+mn-cs"/>
            </a:rPr>
            <a:t>- </a:t>
          </a:r>
          <a:r>
            <a:rPr lang="en-GB" i="1">
              <a:effectLst/>
            </a:rPr>
            <a:t>Potasio</a:t>
          </a:r>
          <a:r>
            <a:rPr lang="en-GB" i="1" baseline="0">
              <a:effectLst/>
            </a:rPr>
            <a:t> </a:t>
          </a:r>
          <a:r>
            <a:rPr lang="en-GB" i="1">
              <a:effectLst/>
            </a:rPr>
            <a:t>10mg/L" ... "Concentración máxima admisible - Potasio</a:t>
          </a:r>
          <a:r>
            <a:rPr lang="en-GB" i="1" baseline="0">
              <a:effectLst/>
            </a:rPr>
            <a:t> 12mg/L</a:t>
          </a:r>
          <a:r>
            <a:rPr lang="en-GB" i="1">
              <a:effectLst/>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i="1">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Tot i que aquesta normativa fou revocada al 22 de febrer de 2003.</a:t>
          </a:r>
        </a:p>
      </xdr:txBody>
    </xdr:sp>
    <xdr:clientData/>
  </xdr:twoCellAnchor>
  <xdr:twoCellAnchor>
    <xdr:from>
      <xdr:col>0</xdr:col>
      <xdr:colOff>45357</xdr:colOff>
      <xdr:row>69</xdr:row>
      <xdr:rowOff>60475</xdr:rowOff>
    </xdr:from>
    <xdr:to>
      <xdr:col>5</xdr:col>
      <xdr:colOff>861785</xdr:colOff>
      <xdr:row>75</xdr:row>
      <xdr:rowOff>287261</xdr:rowOff>
    </xdr:to>
    <xdr:sp macro="" textlink="">
      <xdr:nvSpPr>
        <xdr:cNvPr id="6" name="TextBox 5">
          <a:extLst>
            <a:ext uri="{FF2B5EF4-FFF2-40B4-BE49-F238E27FC236}">
              <a16:creationId xmlns:a16="http://schemas.microsoft.com/office/drawing/2014/main" id="{C70BE5E1-6194-A070-E62E-3CBA31B057B7}"/>
            </a:ext>
          </a:extLst>
        </xdr:cNvPr>
        <xdr:cNvSpPr txBox="1"/>
      </xdr:nvSpPr>
      <xdr:spPr>
        <a:xfrm>
          <a:off x="45357" y="24031725"/>
          <a:ext cx="7060595" cy="2789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Per una banda, hem pogut constatar que el contingut de l’ió potassi a l’aigua compleix amb les normatives establertes anteriorment. Per una altra, s’ha evidenciat el paper clau del tampó de clorur de liti (LiCl) durant la pràctica, i com contribueix a augmentar la sensibilitat de l’aparell.</a:t>
          </a:r>
        </a:p>
        <a:p>
          <a:pPr algn="ctr"/>
          <a:endParaRPr lang="en-GB" b="0"/>
        </a:p>
        <a:p>
          <a:pPr algn="ctr"/>
          <a:r>
            <a:rPr lang="en-GB" b="0"/>
            <a:t>A més, hem observat que, a diferència de la tècnica d’absorció atòmica, en aquest cas no és necessari fer servir una làmpada específica que emeti en la longitud d’ona desitjada. Això és possible perquè l’excitació dels àtoms de potassi es produeix de manera eficient a la temperatura de la flama (aproximadament 1200 °C).</a:t>
          </a:r>
          <a:br>
            <a:rPr lang="en-GB" b="0"/>
          </a:br>
          <a:endParaRPr lang="en-GB" b="0"/>
        </a:p>
        <a:p>
          <a:pPr algn="ctr"/>
          <a:r>
            <a:rPr lang="en-GB" b="0"/>
            <a:t>Cal remarcar que aquest fet no és extrapolable a tots els elements: en el cas del coure</a:t>
          </a:r>
          <a:r>
            <a:rPr lang="en-GB" b="0" baseline="0"/>
            <a:t> (</a:t>
          </a:r>
          <a:r>
            <a:rPr lang="en-GB" b="0"/>
            <a:t>com es el</a:t>
          </a:r>
          <a:r>
            <a:rPr lang="en-GB" b="0" baseline="0"/>
            <a:t> cas </a:t>
          </a:r>
          <a:r>
            <a:rPr lang="en-GB" b="0"/>
            <a:t> d'una pràctica anterior), aquesta temperatura no és suficient per excitar els seus àtoms, i per tant no es genera senyal mitjançant el mètode d’emissió atòmica,</a:t>
          </a:r>
          <a:r>
            <a:rPr lang="en-GB" b="0" baseline="0"/>
            <a:t> fent necessari el mètode d'absorció atòmica i una làmpada que emeti en el rang desitjat de longitud d'ona</a:t>
          </a:r>
          <a:r>
            <a:rPr lang="en-GB" b="0"/>
            <a:t>.</a:t>
          </a:r>
        </a:p>
        <a:p>
          <a:pPr algn="ctr"/>
          <a:endParaRPr lang="en-GB" b="0"/>
        </a:p>
        <a:p>
          <a:pPr algn="ctr"/>
          <a:r>
            <a:rPr lang="en-GB" b="0"/>
            <a:t>Així doncs, aquesta pràctica ens ha permès comprendre millor la utilitat i el funcionament de l’espectroscòpia d’emissió atòmica, alhora que hem consolidat coneixements adquirits en sessions anteriors basades en l’absorció atòmica.</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08C8-5267-41A1-8A30-44F36ECBD8D8}">
  <dimension ref="A1:N71"/>
  <sheetViews>
    <sheetView showGridLines="0" tabSelected="1" topLeftCell="A63" zoomScale="168" zoomScaleNormal="100" workbookViewId="0">
      <selection activeCell="G75" sqref="G75"/>
    </sheetView>
  </sheetViews>
  <sheetFormatPr baseColWidth="10" defaultColWidth="11.5" defaultRowHeight="23.25" customHeight="1" x14ac:dyDescent="0.2"/>
  <cols>
    <col min="1" max="1" width="25.83203125" style="2" customWidth="1"/>
    <col min="2" max="2" width="14.1640625" style="2" customWidth="1"/>
    <col min="3" max="3" width="12.6640625" style="2" customWidth="1"/>
    <col min="4" max="4" width="15.5" style="2" bestFit="1" customWidth="1"/>
    <col min="5" max="5" width="13.83203125" style="2" customWidth="1"/>
    <col min="6" max="6" width="11.5" style="2" customWidth="1"/>
    <col min="7" max="16384" width="11.5" style="2"/>
  </cols>
  <sheetData>
    <row r="1" spans="1:6" ht="21" customHeight="1" x14ac:dyDescent="0.2">
      <c r="A1" s="3" t="s">
        <v>18</v>
      </c>
      <c r="E1" s="4" t="s">
        <v>0</v>
      </c>
      <c r="F1" s="20">
        <v>45790</v>
      </c>
    </row>
    <row r="2" spans="1:6" s="5" customFormat="1" ht="15" customHeight="1" x14ac:dyDescent="0.2">
      <c r="A2" s="4" t="s">
        <v>1</v>
      </c>
      <c r="B2" s="19" t="s">
        <v>37</v>
      </c>
      <c r="E2" s="4" t="s">
        <v>2</v>
      </c>
      <c r="F2" s="5" t="s">
        <v>39</v>
      </c>
    </row>
    <row r="3" spans="1:6" s="5" customFormat="1" ht="15" customHeight="1" x14ac:dyDescent="0.2">
      <c r="A3" s="4" t="s">
        <v>3</v>
      </c>
      <c r="B3" s="5" t="s">
        <v>38</v>
      </c>
    </row>
    <row r="4" spans="1:6" s="5" customFormat="1" ht="15" customHeight="1" x14ac:dyDescent="0.2">
      <c r="A4" s="4"/>
    </row>
    <row r="5" spans="1:6" s="5" customFormat="1" ht="15" customHeight="1" x14ac:dyDescent="0.2">
      <c r="A5" s="4" t="s">
        <v>4</v>
      </c>
    </row>
    <row r="6" spans="1:6" ht="15" customHeight="1" x14ac:dyDescent="0.2">
      <c r="A6" s="6"/>
    </row>
    <row r="7" spans="1:6" ht="15" customHeight="1" x14ac:dyDescent="0.2">
      <c r="A7" s="6"/>
    </row>
    <row r="8" spans="1:6" ht="58" customHeight="1" x14ac:dyDescent="0.2">
      <c r="A8" s="6"/>
    </row>
    <row r="9" spans="1:6" ht="183" customHeight="1" x14ac:dyDescent="0.2"/>
    <row r="10" spans="1:6" ht="34" customHeight="1" x14ac:dyDescent="0.2">
      <c r="A10" s="4" t="s">
        <v>6</v>
      </c>
    </row>
    <row r="16" spans="1:6" ht="134" customHeight="1" x14ac:dyDescent="0.2"/>
    <row r="18" spans="1:3" ht="23.25" customHeight="1" x14ac:dyDescent="0.2">
      <c r="A18" s="4" t="s">
        <v>19</v>
      </c>
    </row>
    <row r="20" spans="1:3" ht="23.25" customHeight="1" x14ac:dyDescent="0.2">
      <c r="A20" s="1" t="s">
        <v>20</v>
      </c>
      <c r="B20" s="7">
        <v>0.48459999999999998</v>
      </c>
      <c r="C20" s="1" t="s">
        <v>27</v>
      </c>
    </row>
    <row r="21" spans="1:3" ht="23.25" customHeight="1" x14ac:dyDescent="0.2">
      <c r="A21" s="1" t="s">
        <v>32</v>
      </c>
      <c r="B21" s="21">
        <v>250</v>
      </c>
    </row>
    <row r="22" spans="1:3" ht="23.25" customHeight="1" x14ac:dyDescent="0.2">
      <c r="A22" s="1" t="s">
        <v>33</v>
      </c>
      <c r="B22" s="22">
        <f>B20*(39.098/74.56)*10^3/(B21*10^(-3))</f>
        <v>1016.4640987124462</v>
      </c>
      <c r="C22" s="1" t="s">
        <v>5</v>
      </c>
    </row>
    <row r="25" spans="1:3" ht="23.25" customHeight="1" x14ac:dyDescent="0.2">
      <c r="A25" s="4" t="s">
        <v>24</v>
      </c>
    </row>
    <row r="27" spans="1:3" ht="23.25" customHeight="1" x14ac:dyDescent="0.2">
      <c r="A27" s="1" t="s">
        <v>26</v>
      </c>
      <c r="B27" s="23">
        <v>0.27729999999999999</v>
      </c>
    </row>
    <row r="28" spans="1:3" ht="23.25" customHeight="1" x14ac:dyDescent="0.2">
      <c r="A28" s="1" t="s">
        <v>25</v>
      </c>
      <c r="B28" s="21">
        <v>250</v>
      </c>
      <c r="C28" s="1" t="s">
        <v>40</v>
      </c>
    </row>
    <row r="29" spans="1:3" ht="23.25" customHeight="1" x14ac:dyDescent="0.2">
      <c r="A29" s="1" t="s">
        <v>30</v>
      </c>
      <c r="B29" s="21">
        <f>B27*(6.939/42.39)*10^3/(B28*10^(-3))</f>
        <v>181.56968152866241</v>
      </c>
      <c r="C29" s="1" t="s">
        <v>5</v>
      </c>
    </row>
    <row r="31" spans="1:3" ht="23.25" customHeight="1" x14ac:dyDescent="0.2">
      <c r="A31" s="6" t="s">
        <v>34</v>
      </c>
    </row>
    <row r="32" spans="1:3" ht="23.25" customHeight="1" x14ac:dyDescent="0.2">
      <c r="A32" s="1" t="s">
        <v>28</v>
      </c>
      <c r="B32" s="24">
        <f>B29*B33/25</f>
        <v>72.627872611464966</v>
      </c>
      <c r="C32" s="1" t="s">
        <v>5</v>
      </c>
    </row>
    <row r="33" spans="1:13" ht="23.25" customHeight="1" x14ac:dyDescent="0.2">
      <c r="A33" s="1" t="s">
        <v>29</v>
      </c>
      <c r="B33" s="25">
        <v>10</v>
      </c>
      <c r="C33" s="1" t="s">
        <v>40</v>
      </c>
    </row>
    <row r="35" spans="1:13" ht="23.25" customHeight="1" x14ac:dyDescent="0.2">
      <c r="A35" s="4" t="s">
        <v>21</v>
      </c>
    </row>
    <row r="37" spans="1:13" ht="23.25" customHeight="1" x14ac:dyDescent="0.15">
      <c r="A37" s="1" t="s">
        <v>35</v>
      </c>
      <c r="B37" s="7" t="s">
        <v>32</v>
      </c>
      <c r="C37" s="7" t="s">
        <v>7</v>
      </c>
      <c r="D37" s="7" t="s">
        <v>41</v>
      </c>
      <c r="E37" s="7" t="s">
        <v>22</v>
      </c>
      <c r="J37" s="34" t="s">
        <v>51</v>
      </c>
      <c r="K37" s="34"/>
      <c r="L37" s="34"/>
      <c r="M37" s="34"/>
    </row>
    <row r="38" spans="1:13" ht="23.25" customHeight="1" x14ac:dyDescent="0.2">
      <c r="A38" s="26">
        <f>$B$22/10/10/4</f>
        <v>2.5411602467811156</v>
      </c>
      <c r="B38" s="21">
        <v>5</v>
      </c>
      <c r="C38" s="21">
        <v>25</v>
      </c>
      <c r="D38" s="21">
        <f>A38*B38/C38</f>
        <v>0.50823204935622313</v>
      </c>
      <c r="E38" s="7">
        <v>0.2752</v>
      </c>
      <c r="J38" s="27" t="s">
        <v>52</v>
      </c>
      <c r="K38" s="28" cm="1">
        <f t="array" ref="K38:L42">LINEST(E38:E42,D38:D42,1,1)</f>
        <v>0.1822810977933394</v>
      </c>
      <c r="L38" s="28">
        <v>0.20471917808219159</v>
      </c>
      <c r="M38" s="29" t="s">
        <v>15</v>
      </c>
    </row>
    <row r="39" spans="1:13" ht="23.25" customHeight="1" x14ac:dyDescent="0.2">
      <c r="A39" s="26">
        <f>$B$22/10/10</f>
        <v>10.164640987124463</v>
      </c>
      <c r="B39" s="21">
        <v>3.75</v>
      </c>
      <c r="C39" s="21">
        <v>25</v>
      </c>
      <c r="D39" s="21">
        <f>A39*B39/C39</f>
        <v>1.5246961480686694</v>
      </c>
      <c r="E39" s="7">
        <v>0.50580000000000003</v>
      </c>
      <c r="J39" s="27" t="s">
        <v>53</v>
      </c>
      <c r="K39" s="28">
        <v>7.9141845247648474E-3</v>
      </c>
      <c r="L39" s="28">
        <v>2.019149569509289E-2</v>
      </c>
      <c r="M39" s="29" t="s">
        <v>54</v>
      </c>
    </row>
    <row r="40" spans="1:13" ht="23.25" customHeight="1" x14ac:dyDescent="0.2">
      <c r="A40" s="26">
        <f>$B$22/10/10</f>
        <v>10.164640987124463</v>
      </c>
      <c r="B40" s="21">
        <v>5</v>
      </c>
      <c r="C40" s="21">
        <v>25</v>
      </c>
      <c r="D40" s="21">
        <f>A40*B40/C40</f>
        <v>2.0329281974248925</v>
      </c>
      <c r="E40" s="7">
        <v>0.5907</v>
      </c>
      <c r="J40" s="27" t="s">
        <v>44</v>
      </c>
      <c r="K40" s="30">
        <v>0.99437657107024036</v>
      </c>
      <c r="L40" s="28">
        <v>2.1735000076156037E-2</v>
      </c>
      <c r="M40" s="29" t="s">
        <v>45</v>
      </c>
    </row>
    <row r="41" spans="1:13" ht="23.25" customHeight="1" x14ac:dyDescent="0.2">
      <c r="A41" s="26">
        <f>$B$22/10/10</f>
        <v>10.164640987124463</v>
      </c>
      <c r="B41" s="21">
        <v>7.5</v>
      </c>
      <c r="C41" s="21">
        <v>25</v>
      </c>
      <c r="D41" s="21">
        <f>A41*B41/C41</f>
        <v>3.0493922961373388</v>
      </c>
      <c r="E41" s="7">
        <v>0.74939999999999996</v>
      </c>
      <c r="J41" s="27" t="s">
        <v>46</v>
      </c>
      <c r="K41" s="29">
        <v>530.48233568379078</v>
      </c>
      <c r="L41" s="29">
        <v>3</v>
      </c>
      <c r="M41" s="29" t="s">
        <v>47</v>
      </c>
    </row>
    <row r="42" spans="1:13" ht="23.25" customHeight="1" x14ac:dyDescent="0.2">
      <c r="A42" s="26">
        <f>$B$22/10/10</f>
        <v>10.164640987124463</v>
      </c>
      <c r="B42" s="21">
        <v>10</v>
      </c>
      <c r="C42" s="21">
        <v>25</v>
      </c>
      <c r="D42" s="21">
        <f>A42*B42/C42</f>
        <v>4.065856394849785</v>
      </c>
      <c r="E42" s="7">
        <v>0.94059999999999999</v>
      </c>
      <c r="J42" s="27" t="s">
        <v>48</v>
      </c>
      <c r="K42" s="29">
        <v>0.25060528131506848</v>
      </c>
      <c r="L42" s="29">
        <v>1.4172306849315089E-3</v>
      </c>
      <c r="M42" s="29" t="s">
        <v>49</v>
      </c>
    </row>
    <row r="43" spans="1:13" ht="23.25" customHeight="1" x14ac:dyDescent="0.2">
      <c r="B43" s="18"/>
      <c r="C43" s="18"/>
      <c r="D43" s="18"/>
      <c r="E43" s="18"/>
    </row>
    <row r="46" spans="1:13" ht="23.25" customHeight="1" x14ac:dyDescent="0.2">
      <c r="A46" s="9" t="s">
        <v>12</v>
      </c>
      <c r="B46" s="1" t="s">
        <v>13</v>
      </c>
      <c r="C46" s="35" t="s">
        <v>56</v>
      </c>
      <c r="D46" s="36"/>
      <c r="E46" s="1" t="s">
        <v>17</v>
      </c>
      <c r="F46" s="26">
        <f>L40</f>
        <v>2.1735000076156037E-2</v>
      </c>
      <c r="K46" s="1" t="s">
        <v>42</v>
      </c>
      <c r="L46" s="31">
        <f>AVERAGE(E38:E42)</f>
        <v>0.61234</v>
      </c>
    </row>
    <row r="47" spans="1:13" ht="23.25" customHeight="1" x14ac:dyDescent="0.2">
      <c r="A47" s="10"/>
      <c r="B47" s="1" t="s">
        <v>14</v>
      </c>
      <c r="C47" s="35" t="s">
        <v>57</v>
      </c>
      <c r="D47" s="36"/>
      <c r="E47" s="1" t="s">
        <v>15</v>
      </c>
      <c r="F47" s="22">
        <f>COUNT(D38:D42)</f>
        <v>5</v>
      </c>
      <c r="K47" s="1" t="s">
        <v>43</v>
      </c>
      <c r="L47" s="32">
        <f>VARPA(D38:D42)*F47</f>
        <v>7.5423546269905382</v>
      </c>
    </row>
    <row r="48" spans="1:13" ht="23.25" customHeight="1" x14ac:dyDescent="0.2">
      <c r="A48" s="11"/>
      <c r="F48" s="12"/>
      <c r="K48" s="1" t="s">
        <v>55</v>
      </c>
      <c r="L48" s="25">
        <f>L40/K38*SQRT(1+1/F47+(C65-L46)^2/(K38^2*L47))</f>
        <v>0.13063014490214125</v>
      </c>
    </row>
    <row r="49" spans="1:14" ht="23.25" customHeight="1" x14ac:dyDescent="0.2">
      <c r="A49" s="11"/>
      <c r="F49" s="12"/>
      <c r="K49" s="1" t="s">
        <v>50</v>
      </c>
      <c r="L49" s="31">
        <f>_xlfn.T.INV.2T(0.05,L41)</f>
        <v>3.1824463052837091</v>
      </c>
    </row>
    <row r="50" spans="1:14" ht="23.25" customHeight="1" x14ac:dyDescent="0.2">
      <c r="A50" s="11"/>
      <c r="F50" s="12"/>
    </row>
    <row r="51" spans="1:14" ht="23.25" customHeight="1" x14ac:dyDescent="0.2">
      <c r="A51" s="11"/>
      <c r="F51" s="12"/>
    </row>
    <row r="52" spans="1:14" ht="23.25" customHeight="1" x14ac:dyDescent="0.2">
      <c r="A52" s="11"/>
      <c r="F52" s="12"/>
    </row>
    <row r="53" spans="1:14" ht="23.25" customHeight="1" x14ac:dyDescent="0.2">
      <c r="A53" s="11"/>
      <c r="F53" s="12"/>
    </row>
    <row r="54" spans="1:14" ht="23.25" customHeight="1" x14ac:dyDescent="0.2">
      <c r="A54" s="11"/>
      <c r="F54" s="12"/>
    </row>
    <row r="55" spans="1:14" ht="23.25" customHeight="1" x14ac:dyDescent="0.2">
      <c r="A55" s="11"/>
      <c r="F55" s="12"/>
      <c r="M55" s="46"/>
      <c r="N55" s="46"/>
    </row>
    <row r="56" spans="1:14" ht="23.25" customHeight="1" x14ac:dyDescent="0.2">
      <c r="A56" s="11"/>
      <c r="F56" s="12"/>
      <c r="M56" s="46"/>
      <c r="N56" s="47"/>
    </row>
    <row r="57" spans="1:14" ht="23.25" customHeight="1" x14ac:dyDescent="0.2">
      <c r="A57" s="11"/>
      <c r="F57" s="12"/>
      <c r="M57" s="46"/>
      <c r="N57" s="46"/>
    </row>
    <row r="58" spans="1:14" ht="23.25" customHeight="1" x14ac:dyDescent="0.2">
      <c r="A58" s="11"/>
      <c r="F58" s="12"/>
    </row>
    <row r="59" spans="1:14" ht="23.25" customHeight="1" x14ac:dyDescent="0.2">
      <c r="A59" s="10"/>
      <c r="B59" s="13"/>
      <c r="C59" s="13"/>
      <c r="D59" s="13"/>
      <c r="E59" s="13"/>
      <c r="F59" s="14"/>
    </row>
    <row r="60" spans="1:14" ht="23.25" customHeight="1" x14ac:dyDescent="0.2">
      <c r="A60" s="37" t="s">
        <v>16</v>
      </c>
      <c r="B60" s="40"/>
      <c r="C60" s="37"/>
      <c r="D60" s="37"/>
      <c r="E60" s="37"/>
      <c r="F60" s="41"/>
    </row>
    <row r="61" spans="1:14" ht="23.25" customHeight="1" x14ac:dyDescent="0.2">
      <c r="A61" s="38"/>
      <c r="B61" s="42"/>
      <c r="C61" s="38"/>
      <c r="D61" s="38"/>
      <c r="E61" s="38"/>
      <c r="F61" s="43"/>
    </row>
    <row r="62" spans="1:14" ht="46" customHeight="1" x14ac:dyDescent="0.2">
      <c r="A62" s="39"/>
      <c r="B62" s="44"/>
      <c r="C62" s="39"/>
      <c r="D62" s="39"/>
      <c r="E62" s="39"/>
      <c r="F62" s="45"/>
    </row>
    <row r="64" spans="1:14" ht="23.25" customHeight="1" x14ac:dyDescent="0.2">
      <c r="B64" s="1" t="s">
        <v>8</v>
      </c>
      <c r="C64" s="1" t="s">
        <v>23</v>
      </c>
      <c r="D64" s="1" t="s">
        <v>9</v>
      </c>
      <c r="E64" s="1" t="s">
        <v>10</v>
      </c>
    </row>
    <row r="65" spans="1:6" ht="23.25" customHeight="1" x14ac:dyDescent="0.2">
      <c r="A65" s="8" t="s">
        <v>11</v>
      </c>
      <c r="B65" s="1">
        <f>25/10</f>
        <v>2.5</v>
      </c>
      <c r="C65" s="1">
        <v>0.60540000000000005</v>
      </c>
      <c r="D65" s="32">
        <f>(C65-L38)/K38*B65</f>
        <v>5.4953698815781635</v>
      </c>
      <c r="E65" s="32">
        <f>L48*L49*B65</f>
        <v>1.0393085550062373</v>
      </c>
    </row>
    <row r="67" spans="1:6" ht="23.25" customHeight="1" x14ac:dyDescent="0.2">
      <c r="A67" s="16" t="s">
        <v>36</v>
      </c>
      <c r="B67" s="15"/>
      <c r="C67" s="35" t="s">
        <v>58</v>
      </c>
      <c r="D67" s="48"/>
      <c r="E67" s="36"/>
    </row>
    <row r="69" spans="1:6" ht="23.25" customHeight="1" x14ac:dyDescent="0.15">
      <c r="A69" s="17" t="s">
        <v>31</v>
      </c>
      <c r="B69" s="18"/>
      <c r="C69" s="18"/>
      <c r="D69" s="18"/>
      <c r="E69" s="18"/>
      <c r="F69" s="18"/>
    </row>
    <row r="70" spans="1:6" ht="86" customHeight="1" x14ac:dyDescent="0.2">
      <c r="A70" s="33"/>
      <c r="B70" s="33"/>
      <c r="C70" s="33"/>
      <c r="D70" s="33"/>
      <c r="E70" s="33"/>
      <c r="F70" s="33"/>
    </row>
    <row r="71" spans="1:6" ht="23.25" customHeight="1" x14ac:dyDescent="0.2">
      <c r="A71" s="18"/>
      <c r="B71" s="18"/>
      <c r="C71" s="18"/>
      <c r="D71" s="18"/>
      <c r="E71" s="18"/>
      <c r="F71" s="18"/>
    </row>
  </sheetData>
  <mergeCells count="7">
    <mergeCell ref="A70:F70"/>
    <mergeCell ref="J37:M37"/>
    <mergeCell ref="C46:D46"/>
    <mergeCell ref="C47:D47"/>
    <mergeCell ref="A60:A62"/>
    <mergeCell ref="B60:F62"/>
    <mergeCell ref="C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55-B3F4-A041-8801-ACD56112111B}">
  <dimension ref="A1"/>
  <sheetViews>
    <sheetView workbookViewId="0"/>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A</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Sergio Castañeiras Morales</cp:lastModifiedBy>
  <cp:revision/>
  <dcterms:created xsi:type="dcterms:W3CDTF">2021-03-22T14:48:22Z</dcterms:created>
  <dcterms:modified xsi:type="dcterms:W3CDTF">2025-05-13T20:05:21Z</dcterms:modified>
  <cp:category/>
  <cp:contentStatus/>
</cp:coreProperties>
</file>