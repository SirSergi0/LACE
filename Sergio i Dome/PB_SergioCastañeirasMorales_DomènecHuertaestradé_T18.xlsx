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defaultThemeVersion="166925"/>
  <mc:AlternateContent xmlns:mc="http://schemas.openxmlformats.org/markup-compatibility/2006">
    <mc:Choice Requires="x15">
      <x15ac:absPath xmlns:x15ac="http://schemas.microsoft.com/office/spreadsheetml/2010/11/ac" url="/Users/sergio/Desktop/University/5nto/LACE/LACE/Sergio i Dome/"/>
    </mc:Choice>
  </mc:AlternateContent>
  <xr:revisionPtr revIDLastSave="0" documentId="13_ncr:1_{7D2F0AF4-EAB5-144E-AF6C-750CCE1970FF}" xr6:coauthVersionLast="47" xr6:coauthVersionMax="47" xr10:uidLastSave="{00000000-0000-0000-0000-000000000000}"/>
  <bookViews>
    <workbookView xWindow="0" yWindow="860" windowWidth="34200" windowHeight="21380" xr2:uid="{C1122783-245A-4FED-BDEB-F09B1698DCDF}"/>
  </bookViews>
  <sheets>
    <sheet name="Pràctica A" sheetId="1" r:id="rId1"/>
    <sheet name="Càlcul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6" i="1" l="1"/>
  <c r="B22" i="1"/>
  <c r="A38" i="1" s="1"/>
  <c r="L46" i="1"/>
  <c r="B33" i="1"/>
  <c r="B29" i="1"/>
  <c r="B32" i="1" s="1"/>
  <c r="A40" i="1" l="1"/>
  <c r="D40" i="1" s="1"/>
  <c r="A41" i="1"/>
  <c r="D41" i="1" s="1"/>
  <c r="A39" i="1"/>
  <c r="D39" i="1" s="1"/>
  <c r="A42" i="1"/>
  <c r="D42" i="1" s="1"/>
  <c r="D38" i="1"/>
  <c r="K38" i="1" l="1" a="1"/>
  <c r="K38" i="1" s="1"/>
  <c r="F47" i="1"/>
  <c r="L50" i="1"/>
  <c r="L47" i="1"/>
  <c r="L48" i="1" l="1"/>
  <c r="L4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<sst xmlns="http://schemas.openxmlformats.org/spreadsheetml/2006/main" count="64" uniqueCount="59">
  <si>
    <t>Data:</t>
  </si>
  <si>
    <t>Grup pràctiques:</t>
  </si>
  <si>
    <t>Parella:</t>
  </si>
  <si>
    <t>Alumnes:</t>
  </si>
  <si>
    <t>Descripció de la mostra</t>
  </si>
  <si>
    <t>ppm</t>
  </si>
  <si>
    <t>Instrumentació</t>
  </si>
  <si>
    <t>ml enràs</t>
  </si>
  <si>
    <t>Factor dilució</t>
  </si>
  <si>
    <t>conc.mostra</t>
  </si>
  <si>
    <t>Int.confiança</t>
  </si>
  <si>
    <t>Mostra</t>
  </si>
  <si>
    <t>Corba Calibrat:</t>
  </si>
  <si>
    <t>pendent</t>
  </si>
  <si>
    <t>ord.origen</t>
  </si>
  <si>
    <t>n</t>
  </si>
  <si>
    <t>Comentaris:</t>
  </si>
  <si>
    <t>Sy/x</t>
  </si>
  <si>
    <t>Informe pràctica B</t>
  </si>
  <si>
    <r>
      <t>Estoc 1000 ppm K</t>
    </r>
    <r>
      <rPr>
        <b/>
        <vertAlign val="superscript"/>
        <sz val="12"/>
        <color theme="1"/>
        <rFont val="Arial"/>
        <family val="2"/>
      </rPr>
      <t>+</t>
    </r>
  </si>
  <si>
    <t>Pes KCl</t>
  </si>
  <si>
    <t>Preparació Patrons i mesures Emissió Atòmica</t>
  </si>
  <si>
    <t>senyal AES</t>
  </si>
  <si>
    <t>Senyal AES</t>
  </si>
  <si>
    <t>Estoc LiCl</t>
  </si>
  <si>
    <t>ml estoc LiCl</t>
  </si>
  <si>
    <t>Pes LiCl (g)</t>
  </si>
  <si>
    <t>g</t>
  </si>
  <si>
    <t>conc. dissol. treball</t>
  </si>
  <si>
    <t>ml dissol. treball afegits</t>
  </si>
  <si>
    <t>conc. dissol. Estoc</t>
  </si>
  <si>
    <t>7. Comentaris addicionals..... (només si vols destacar alguna cosa)</t>
  </si>
  <si>
    <r>
      <t>ml estoc K</t>
    </r>
    <r>
      <rPr>
        <vertAlign val="superscript"/>
        <sz val="11"/>
        <color theme="1"/>
        <rFont val="Arial"/>
        <family val="2"/>
      </rPr>
      <t>+</t>
    </r>
  </si>
  <si>
    <r>
      <t>conc. real estoc K</t>
    </r>
    <r>
      <rPr>
        <vertAlign val="superscript"/>
        <sz val="11"/>
        <color theme="1"/>
        <rFont val="Arial"/>
        <family val="2"/>
      </rPr>
      <t>+</t>
    </r>
  </si>
  <si>
    <r>
      <t>75 mg/L de Li</t>
    </r>
    <r>
      <rPr>
        <b/>
        <vertAlign val="superscript"/>
        <sz val="11"/>
        <color theme="1"/>
        <rFont val="Arial"/>
        <family val="2"/>
      </rPr>
      <t>+</t>
    </r>
    <r>
      <rPr>
        <b/>
        <sz val="11"/>
        <color theme="1"/>
        <rFont val="Arial"/>
        <family val="2"/>
      </rPr>
      <t xml:space="preserve"> en patrons i mostres:</t>
    </r>
  </si>
  <si>
    <r>
      <t>Patró (ppm K</t>
    </r>
    <r>
      <rPr>
        <vertAlign val="superscript"/>
        <sz val="11"/>
        <color theme="1"/>
        <rFont val="Arial"/>
        <family val="2"/>
      </rPr>
      <t>+</t>
    </r>
    <r>
      <rPr>
        <sz val="11"/>
        <color theme="1"/>
        <rFont val="Arial"/>
        <family val="2"/>
      </rPr>
      <t>)</t>
    </r>
  </si>
  <si>
    <r>
      <t>contingut K</t>
    </r>
    <r>
      <rPr>
        <b/>
        <vertAlign val="superscript"/>
        <sz val="11"/>
        <color theme="1"/>
        <rFont val="Arial"/>
        <family val="2"/>
      </rPr>
      <t>+</t>
    </r>
    <r>
      <rPr>
        <b/>
        <sz val="11"/>
        <color theme="1"/>
        <rFont val="Arial"/>
        <family val="2"/>
      </rPr>
      <t xml:space="preserve"> en mostre d'aigüa</t>
    </r>
  </si>
  <si>
    <t xml:space="preserve">GRUP 2.1 (G3) tarda - 2on torn </t>
  </si>
  <si>
    <t>Sergio Castañeiras Morales i Domènec Huerta Estradé</t>
  </si>
  <si>
    <t>T_18</t>
  </si>
  <si>
    <t>mL</t>
  </si>
  <si>
    <r>
      <t>[K</t>
    </r>
    <r>
      <rPr>
        <vertAlign val="superscript"/>
        <sz val="11"/>
        <color theme="1"/>
        <rFont val="Arial"/>
        <family val="2"/>
      </rPr>
      <t>+</t>
    </r>
    <r>
      <rPr>
        <sz val="11"/>
        <color theme="1"/>
        <rFont val="Arial"/>
        <family val="2"/>
      </rPr>
      <t>] (ppm)</t>
    </r>
  </si>
  <si>
    <t>y_{avg}</t>
  </si>
  <si>
    <t>S_{xx}</t>
  </si>
  <si>
    <t>R^2</t>
  </si>
  <si>
    <t>S_{y/x}</t>
  </si>
  <si>
    <t>F</t>
  </si>
  <si>
    <t>dof</t>
  </si>
  <si>
    <t>Ssreg</t>
  </si>
  <si>
    <t>Ssresid</t>
  </si>
  <si>
    <t>t_{tab}</t>
  </si>
  <si>
    <t>Emissions = m * [K+] + n</t>
  </si>
  <si>
    <t>m</t>
  </si>
  <si>
    <t>u_m</t>
  </si>
  <si>
    <t>u_ n</t>
  </si>
  <si>
    <t>( ± )</t>
  </si>
  <si>
    <r>
      <t>( ± ) ppm</t>
    </r>
    <r>
      <rPr>
        <vertAlign val="superscript"/>
        <sz val="11"/>
        <color theme="1"/>
        <rFont val="Arial"/>
        <family val="2"/>
      </rPr>
      <t>-1</t>
    </r>
  </si>
  <si>
    <t>S_0 amb LiCl</t>
  </si>
  <si>
    <t>S_0 sense LiCl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</si>
</sst>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00"/>
  </numFmts>
  <fonts count="12" x14ac:knownFonts="1">
    <font>
      <sz val="11"/>
      <color theme="1"/>
      <name val="Calibri"/>
      <family val="2"/>
      <scheme val="minor"/>
    </font>
    <font>
      <sz val="11"/>
      <color theme="1"/>
      <name val="Arial"/>
      <family val="2"/>
    </font>
    <font>
      <b/>
      <sz val="11"/>
      <color theme="1"/>
      <name val="Arial"/>
      <family val="2"/>
    </font>
    <font>
      <b/>
      <sz val="12"/>
      <color theme="1"/>
      <name val="Arial"/>
      <family val="2"/>
    </font>
    <font>
      <b/>
      <sz val="14"/>
      <color theme="1"/>
      <name val="Arial"/>
      <family val="2"/>
    </font>
    <font>
      <sz val="12"/>
      <color theme="1"/>
      <name val="Arial"/>
      <family val="2"/>
    </font>
    <font>
      <b/>
      <vertAlign val="superscript"/>
      <sz val="12"/>
      <color theme="1"/>
      <name val="Arial"/>
      <family val="2"/>
    </font>
    <font>
      <vertAlign val="superscript"/>
      <sz val="11"/>
      <color theme="1"/>
      <name val="Arial"/>
      <family val="2"/>
    </font>
    <font>
      <b/>
      <vertAlign val="superscript"/>
      <sz val="11"/>
      <color theme="1"/>
      <name val="Arial"/>
      <family val="2"/>
    </font>
    <font>
      <sz val="12"/>
      <color rgb="FF000000"/>
      <name val="Arial"/>
      <family val="2"/>
    </font>
    <font>
      <b/>
      <sz val="11"/>
      <name val="Arial"/>
      <family val="2"/>
    </font>
    <font>
      <sz val="11"/>
      <name val="Arial"/>
      <family val="2"/>
    </font>
  </fonts>
  <fills count="2">
    <fill>
      <patternFill patternType="none"/>
    </fill>
    <fill>
      <patternFill patternType="gray125"/>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9">
    <xf numFmtId="0" fontId="0" fillId="0" borderId="0" xfId="0"/>
    <xf numFmtId="0" fontId="1" fillId="0" borderId="1" xfId="0" applyFont="1" applyBorder="1" applyAlignment="1">
      <alignment vertical="center"/>
    </xf>
    <xf numFmtId="0" fontId="1" fillId="0" borderId="0" xfId="0" applyFont="1" applyAlignment="1">
      <alignment vertical="center"/>
    </xf>
    <xf numFmtId="0" fontId="4"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2" fillId="0" borderId="0" xfId="0" applyFont="1" applyAlignment="1">
      <alignment vertical="center"/>
    </xf>
    <xf numFmtId="0" fontId="1" fillId="0" borderId="1" xfId="0" applyFont="1" applyBorder="1" applyAlignment="1">
      <alignment horizontal="center" vertical="center"/>
    </xf>
    <xf numFmtId="0" fontId="1" fillId="0" borderId="2" xfId="0" applyFont="1" applyBorder="1" applyAlignment="1">
      <alignment vertical="center"/>
    </xf>
    <xf numFmtId="0" fontId="2" fillId="0" borderId="3" xfId="0" applyFont="1" applyBorder="1" applyAlignment="1">
      <alignment vertical="center"/>
    </xf>
    <xf numFmtId="0" fontId="1" fillId="0" borderId="11" xfId="0" applyFont="1" applyBorder="1" applyAlignment="1">
      <alignment vertical="center"/>
    </xf>
    <xf numFmtId="0" fontId="1" fillId="0" borderId="6" xfId="0" applyFont="1" applyBorder="1" applyAlignment="1">
      <alignment vertical="center"/>
    </xf>
    <xf numFmtId="0" fontId="1" fillId="0" borderId="9" xfId="0" applyFont="1" applyBorder="1" applyAlignment="1">
      <alignment vertical="center"/>
    </xf>
    <xf numFmtId="0" fontId="1" fillId="0" borderId="10" xfId="0" applyFont="1" applyBorder="1" applyAlignment="1">
      <alignment vertical="center"/>
    </xf>
    <xf numFmtId="0" fontId="1" fillId="0" borderId="7" xfId="0" applyFont="1" applyBorder="1" applyAlignment="1">
      <alignment vertical="center"/>
    </xf>
    <xf numFmtId="0" fontId="1" fillId="0" borderId="8" xfId="0" applyFont="1" applyBorder="1" applyAlignment="1">
      <alignment vertical="center"/>
    </xf>
    <xf numFmtId="0" fontId="2" fillId="0" borderId="11" xfId="0" applyFont="1" applyBorder="1" applyAlignment="1">
      <alignment vertical="center"/>
    </xf>
    <xf numFmtId="0" fontId="2" fillId="0" borderId="12" xfId="0" applyFont="1" applyBorder="1" applyAlignment="1">
      <alignment vertical="center"/>
    </xf>
    <xf numFmtId="0" fontId="1" fillId="0" borderId="12" xfId="0" applyFont="1" applyBorder="1" applyAlignment="1">
      <alignment vertical="center"/>
    </xf>
    <xf numFmtId="0" fontId="2" fillId="0" borderId="2" xfId="0" applyFont="1" applyBorder="1" applyAlignment="1">
      <alignment vertical="center"/>
    </xf>
    <xf numFmtId="0" fontId="2" fillId="0" borderId="0" xfId="0" applyFont="1"/>
    <xf numFmtId="0" fontId="1" fillId="0" borderId="0" xfId="0" applyFont="1" applyAlignment="1">
      <alignment horizontal="center" vertical="center"/>
    </xf>
    <xf numFmtId="0" fontId="9" fillId="0" borderId="0" xfId="0" applyFont="1"/>
    <xf numFmtId="14" fontId="1" fillId="0" borderId="0" xfId="0" applyNumberFormat="1" applyFont="1" applyAlignment="1">
      <alignment vertical="center"/>
    </xf>
    <xf numFmtId="164" fontId="1" fillId="0" borderId="1" xfId="0" applyNumberFormat="1" applyFont="1" applyBorder="1" applyAlignment="1">
      <alignment horizontal="center" vertical="center"/>
    </xf>
    <xf numFmtId="1"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2" fontId="1" fillId="0" borderId="1" xfId="0" applyNumberFormat="1" applyFont="1" applyBorder="1" applyAlignment="1">
      <alignment vertical="center"/>
    </xf>
    <xf numFmtId="164" fontId="1" fillId="0" borderId="1" xfId="0" applyNumberFormat="1" applyFont="1" applyBorder="1" applyAlignment="1">
      <alignment vertical="center"/>
    </xf>
    <xf numFmtId="2" fontId="1" fillId="0" borderId="1" xfId="0" applyNumberFormat="1" applyFont="1" applyBorder="1" applyAlignment="1">
      <alignment horizontal="center" vertical="center"/>
    </xf>
    <xf numFmtId="0" fontId="11" fillId="0" borderId="1" xfId="0" applyFont="1" applyBorder="1" applyAlignment="1">
      <alignment horizontal="right" vertical="center"/>
    </xf>
    <xf numFmtId="2" fontId="11" fillId="0" borderId="1" xfId="0" applyNumberFormat="1" applyFont="1" applyBorder="1" applyAlignment="1">
      <alignment vertical="center"/>
    </xf>
    <xf numFmtId="0" fontId="11" fillId="0" borderId="1" xfId="0" applyFont="1" applyBorder="1" applyAlignment="1">
      <alignment vertical="center"/>
    </xf>
    <xf numFmtId="166" fontId="10" fillId="0" borderId="1" xfId="0" applyNumberFormat="1" applyFont="1" applyBorder="1" applyAlignment="1">
      <alignment vertical="center"/>
    </xf>
    <xf numFmtId="166" fontId="1" fillId="0" borderId="1" xfId="0" applyNumberFormat="1" applyFont="1" applyBorder="1" applyAlignment="1">
      <alignment vertical="center"/>
    </xf>
    <xf numFmtId="1" fontId="1" fillId="0" borderId="1" xfId="0" applyNumberFormat="1" applyFont="1" applyBorder="1" applyAlignment="1">
      <alignment vertical="center"/>
    </xf>
    <xf numFmtId="0" fontId="1" fillId="0" borderId="1" xfId="0" applyFont="1" applyBorder="1" applyAlignment="1">
      <alignment horizontal="center" vertical="center"/>
    </xf>
    <xf numFmtId="0" fontId="10" fillId="0" borderId="1" xfId="0" applyFont="1" applyBorder="1" applyAlignment="1">
      <alignment horizontal="center"/>
    </xf>
    <xf numFmtId="0" fontId="1" fillId="0" borderId="2" xfId="0" applyFont="1" applyBorder="1" applyAlignment="1">
      <alignment horizontal="center" vertical="center"/>
    </xf>
    <xf numFmtId="0" fontId="1" fillId="0" borderId="11" xfId="0" applyFont="1" applyBorder="1" applyAlignment="1">
      <alignment horizontal="center" vertical="center"/>
    </xf>
    <xf numFmtId="0" fontId="1" fillId="0" borderId="4" xfId="0" applyFont="1" applyBorder="1" applyAlignment="1">
      <alignment horizontal="center" vertical="center"/>
    </xf>
    <xf numFmtId="0" fontId="1" fillId="0" borderId="0" xfId="0" applyFont="1" applyAlignment="1">
      <alignment horizontal="center" vertical="center"/>
    </xf>
    <xf numFmtId="0" fontId="1" fillId="0" borderId="7" xfId="0" applyFont="1" applyBorder="1" applyAlignment="1">
      <alignment horizontal="center" vertical="center"/>
    </xf>
    <xf numFmtId="0" fontId="1" fillId="0" borderId="3" xfId="0" applyFont="1" applyBorder="1" applyAlignment="1">
      <alignment horizontal="center" vertical="center"/>
    </xf>
    <xf numFmtId="0" fontId="1" fillId="0" borderId="5" xfId="0" applyFont="1" applyBorder="1" applyAlignment="1">
      <alignment horizontal="center" vertical="center"/>
    </xf>
    <xf numFmtId="0" fontId="1" fillId="0" borderId="9" xfId="0" applyFont="1" applyBorder="1" applyAlignment="1">
      <alignment horizontal="center" vertical="center"/>
    </xf>
    <xf numFmtId="0" fontId="1" fillId="0" borderId="10" xfId="0" applyFont="1" applyBorder="1" applyAlignment="1">
      <alignment horizontal="center" vertical="center"/>
    </xf>
    <xf numFmtId="0" fontId="1" fillId="0" borderId="6" xfId="0" applyFont="1" applyBorder="1" applyAlignment="1">
      <alignment horizontal="center" vertical="center"/>
    </xf>
    <xf numFmtId="0" fontId="1" fillId="0" borderId="8"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Calibratge amb patró extern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9.7020126558685402E-2"/>
          <c:y val="0.14161893852615504"/>
          <c:w val="0.86670715200180881"/>
          <c:h val="0.68883807908891115"/>
        </c:manualLayout>
      </c:layout>
      <c:scatterChart>
        <c:scatterStyle val="lineMarker"/>
        <c:varyColors val="0"/>
        <c:ser>
          <c:idx val="0"/>
          <c:order val="0"/>
          <c:tx>
            <c:v>Calibratge amb patró extern</c:v>
          </c:tx>
          <c:spPr>
            <a:ln w="25400" cap="rnd">
              <a:noFill/>
              <a:round/>
            </a:ln>
            <a:effectLst/>
          </c:spPr>
          <c:marker>
            <c:symbol val="circle"/>
            <c:size val="5"/>
            <c:spPr>
              <a:solidFill>
                <a:schemeClr val="accent1"/>
              </a:solidFill>
              <a:ln w="9525">
                <a:solidFill>
                  <a:schemeClr val="accent1"/>
                </a:solidFill>
              </a:ln>
              <a:effectLst/>
            </c:spPr>
          </c:marker>
          <c:xVal>
            <c:numRef>
              <c:f>'Pràctica A'!$D$38:$D$42</c:f>
              <c:numCache>
                <c:formatCode>0.0</c:formatCode>
                <c:ptCount val="5"/>
                <c:pt idx="0">
                  <c:v>0</c:v>
                </c:pt>
                <c:pt idx="1">
                  <c:v>0</c:v>
                </c:pt>
                <c:pt idx="2">
                  <c:v>0</c:v>
                </c:pt>
                <c:pt idx="3">
                  <c:v>0</c:v>
                </c:pt>
                <c:pt idx="4">
                  <c:v>0</c:v>
                </c:pt>
              </c:numCache>
            </c:numRef>
          </c:xVal>
          <c:yVal>
            <c:numRef>
              <c:f>'Pràctica A'!$E$38:$E$42</c:f>
              <c:numCache>
                <c:formatCode>General</c:formatCode>
                <c:ptCount val="5"/>
              </c:numCache>
            </c:numRef>
          </c:yVal>
          <c:smooth val="0"/>
          <c:extLst>
            <c:ext xmlns:c16="http://schemas.microsoft.com/office/drawing/2014/chart" uri="{C3380CC4-5D6E-409C-BE32-E72D297353CC}">
              <c16:uniqueId val="{00000003-CAFB-F74C-92CF-596895EC7662}"/>
            </c:ext>
          </c:extLst>
        </c:ser>
        <c:dLbls>
          <c:showLegendKey val="0"/>
          <c:showVal val="0"/>
          <c:showCatName val="0"/>
          <c:showSerName val="0"/>
          <c:showPercent val="0"/>
          <c:showBubbleSize val="0"/>
        </c:dLbls>
        <c:axId val="197386047"/>
        <c:axId val="197385567"/>
      </c:scatterChart>
      <c:valAx>
        <c:axId val="197386047"/>
        <c:scaling>
          <c:orientation val="minMax"/>
        </c:scaling>
        <c:delete val="0"/>
        <c:axPos val="b"/>
        <c:majorGridlines>
          <c:spPr>
            <a:ln w="9525" cap="flat" cmpd="sng" algn="ctr">
              <a:noFill/>
              <a:round/>
            </a:ln>
            <a:effectLst/>
          </c:spPr>
        </c:majorGridlines>
        <c:title>
          <c:tx>
            <c:rich>
              <a:bodyPr rot="0" spcFirstLastPara="1" vertOverflow="ellipsis" vert="horz" wrap="square" anchor="ctr" anchorCtr="1"/>
              <a:lstStyle/>
              <a:p>
                <a:pPr>
                  <a:defRPr sz="1000" b="1" i="0" u="none" strike="noStrike" kern="1200" baseline="30000">
                    <a:solidFill>
                      <a:schemeClr val="tx1">
                        <a:lumMod val="65000"/>
                        <a:lumOff val="35000"/>
                      </a:schemeClr>
                    </a:solidFill>
                    <a:latin typeface="+mn-lt"/>
                    <a:ea typeface="+mn-ea"/>
                    <a:cs typeface="+mn-cs"/>
                  </a:defRPr>
                </a:pPr>
                <a:r>
                  <a:rPr lang="en-US" sz="1400" b="1" baseline="30000"/>
                  <a:t>[K+] (ppm)</a:t>
                </a:r>
              </a:p>
            </c:rich>
          </c:tx>
          <c:overlay val="0"/>
          <c:spPr>
            <a:noFill/>
            <a:ln>
              <a:noFill/>
            </a:ln>
            <a:effectLst/>
          </c:spPr>
          <c:txPr>
            <a:bodyPr rot="0" spcFirstLastPara="1" vertOverflow="ellipsis" vert="horz" wrap="square" anchor="ctr" anchorCtr="1"/>
            <a:lstStyle/>
            <a:p>
              <a:pPr>
                <a:defRPr sz="1000" b="1" i="0" u="none" strike="noStrike" kern="1200" baseline="30000">
                  <a:solidFill>
                    <a:schemeClr val="tx1">
                      <a:lumMod val="65000"/>
                      <a:lumOff val="35000"/>
                    </a:schemeClr>
                  </a:solidFill>
                  <a:latin typeface="+mn-lt"/>
                  <a:ea typeface="+mn-ea"/>
                  <a:cs typeface="+mn-cs"/>
                </a:defRPr>
              </a:pPr>
              <a:endParaRPr lang="es-E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7385567"/>
        <c:crosses val="autoZero"/>
        <c:crossBetween val="midCat"/>
      </c:valAx>
      <c:valAx>
        <c:axId val="197385567"/>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Senyal</a:t>
                </a:r>
                <a:r>
                  <a:rPr lang="en-US" b="1" baseline="0"/>
                  <a:t> AES</a:t>
                </a:r>
              </a:p>
              <a:p>
                <a:pPr>
                  <a:defRPr b="1"/>
                </a:pPr>
                <a:endParaRPr lang="en-US" b="1" baseline="0"/>
              </a:p>
              <a:p>
                <a:pPr>
                  <a:defRPr b="1"/>
                </a:pPr>
                <a:endParaRPr lang="en-US" b="1"/>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s-E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738604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https://www.boe.es/buscar/doc.php?id=BOE-A-2023-628" TargetMode="Externa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16933</xdr:colOff>
      <xdr:row>4</xdr:row>
      <xdr:rowOff>194733</xdr:rowOff>
    </xdr:from>
    <xdr:to>
      <xdr:col>2</xdr:col>
      <xdr:colOff>232833</xdr:colOff>
      <xdr:row>7</xdr:row>
      <xdr:rowOff>728134</xdr:rowOff>
    </xdr:to>
    <xdr:sp macro="" textlink="">
      <xdr:nvSpPr>
        <xdr:cNvPr id="2" name="TextBox 1">
          <a:extLst>
            <a:ext uri="{FF2B5EF4-FFF2-40B4-BE49-F238E27FC236}">
              <a16:creationId xmlns:a16="http://schemas.microsoft.com/office/drawing/2014/main" id="{48B539A4-556E-1830-14D2-78498208B160}"/>
            </a:ext>
          </a:extLst>
        </xdr:cNvPr>
        <xdr:cNvSpPr txBox="1"/>
      </xdr:nvSpPr>
      <xdr:spPr>
        <a:xfrm>
          <a:off x="16933" y="1049866"/>
          <a:ext cx="3272367" cy="11176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La mostra es tracta d'aigua de la font ubicada</a:t>
          </a:r>
          <a:r>
            <a:rPr lang="en-GB" sz="1100" baseline="0"/>
            <a:t> en la primera planta de la torre C7 parell de la facultat de ciències de la Universitat Autònoma de Barcelona el dia 13 maig de 2026 a les 15:40 h</a:t>
          </a:r>
          <a:endParaRPr lang="en-GB" sz="1100"/>
        </a:p>
      </xdr:txBody>
    </xdr:sp>
    <xdr:clientData/>
  </xdr:twoCellAnchor>
  <xdr:twoCellAnchor>
    <xdr:from>
      <xdr:col>0</xdr:col>
      <xdr:colOff>67733</xdr:colOff>
      <xdr:row>10</xdr:row>
      <xdr:rowOff>25400</xdr:rowOff>
    </xdr:from>
    <xdr:to>
      <xdr:col>4</xdr:col>
      <xdr:colOff>1016000</xdr:colOff>
      <xdr:row>16</xdr:row>
      <xdr:rowOff>0</xdr:rowOff>
    </xdr:to>
    <xdr:sp macro="" textlink="">
      <xdr:nvSpPr>
        <xdr:cNvPr id="3" name="TextBox 2">
          <a:extLst>
            <a:ext uri="{FF2B5EF4-FFF2-40B4-BE49-F238E27FC236}">
              <a16:creationId xmlns:a16="http://schemas.microsoft.com/office/drawing/2014/main" id="{1A1ABE25-7BDD-DBD7-0852-DE8ED7FFE7B5}"/>
            </a:ext>
          </a:extLst>
        </xdr:cNvPr>
        <xdr:cNvSpPr txBox="1"/>
      </xdr:nvSpPr>
      <xdr:spPr>
        <a:xfrm>
          <a:off x="67733" y="2497667"/>
          <a:ext cx="6155267" cy="1752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b="0"/>
            <a:t>Per a la detecció de la concentració de</a:t>
          </a:r>
          <a:r>
            <a:rPr lang="en-GB" b="0" baseline="0"/>
            <a:t> l'ió postassi</a:t>
          </a:r>
          <a:r>
            <a:rPr lang="en-GB" b="0"/>
            <a:t> en una mostra d’aigua</a:t>
          </a:r>
          <a:r>
            <a:rPr lang="en-GB" b="0" baseline="0"/>
            <a:t> potable</a:t>
          </a:r>
          <a:r>
            <a:rPr lang="en-GB" b="0"/>
            <a:t>, fem servir el model 55 AA de la marca Agilent, que permet quantificar la mostra mitjançant espectroscòpia d’emissió atòmica atòmica.</a:t>
          </a:r>
        </a:p>
        <a:p>
          <a:pPr algn="ctr"/>
          <a:br>
            <a:rPr lang="en-GB" b="0"/>
          </a:br>
          <a:r>
            <a:rPr lang="en-GB" b="0"/>
            <a:t>Donat</a:t>
          </a:r>
          <a:r>
            <a:rPr lang="en-GB" b="0" baseline="0"/>
            <a:t> que fem servir l'aparell en mode d'emissió no es fa ús de cap làmpada, si més no és clau ajustar el detector en el rang del potassi amb el patró més concentrat.</a:t>
          </a:r>
          <a:br>
            <a:rPr lang="en-GB" b="0"/>
          </a:br>
          <a:endParaRPr lang="en-GB" b="0"/>
        </a:p>
        <a:p>
          <a:pPr algn="ctr"/>
          <a:r>
            <a:rPr lang="en-GB" b="0"/>
            <a:t>Després de realitzar un calibratge amb solucions patró de concentració coneguda de potassi, i mitjançant la llei de Lambert-Beer, podem quantificar la concentració de coure a partir d’una recta de regressió.</a:t>
          </a:r>
        </a:p>
        <a:p>
          <a:pPr algn="ctr"/>
          <a:br>
            <a:rPr lang="en-GB" b="0"/>
          </a:br>
          <a:endParaRPr lang="en-GB" b="0"/>
        </a:p>
        <a:p>
          <a:pPr algn="ctr"/>
          <a:r>
            <a:rPr lang="en-GB" b="0"/>
            <a:t>Nota: És essencial mantenir l’equip net i lliure de residus, ja que, en tractar-se d’una tècnica de quantificació atòmica, la presència d’interferències pot provocar desviacions significatives en els resultats.</a:t>
          </a:r>
        </a:p>
      </xdr:txBody>
    </xdr:sp>
    <xdr:clientData/>
  </xdr:twoCellAnchor>
  <xdr:twoCellAnchor>
    <xdr:from>
      <xdr:col>0</xdr:col>
      <xdr:colOff>53341</xdr:colOff>
      <xdr:row>47</xdr:row>
      <xdr:rowOff>22860</xdr:rowOff>
    </xdr:from>
    <xdr:to>
      <xdr:col>5</xdr:col>
      <xdr:colOff>716281</xdr:colOff>
      <xdr:row>58</xdr:row>
      <xdr:rowOff>198120</xdr:rowOff>
    </xdr:to>
    <xdr:graphicFrame macro="">
      <xdr:nvGraphicFramePr>
        <xdr:cNvPr id="4" name="Chart 1">
          <a:extLst>
            <a:ext uri="{FF2B5EF4-FFF2-40B4-BE49-F238E27FC236}">
              <a16:creationId xmlns:a16="http://schemas.microsoft.com/office/drawing/2014/main" id="{DC4E4686-D601-2A48-B656-46C5B349ED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8467</xdr:colOff>
      <xdr:row>59</xdr:row>
      <xdr:rowOff>16933</xdr:rowOff>
    </xdr:from>
    <xdr:to>
      <xdr:col>5</xdr:col>
      <xdr:colOff>855134</xdr:colOff>
      <xdr:row>61</xdr:row>
      <xdr:rowOff>279400</xdr:rowOff>
    </xdr:to>
    <xdr:sp macro="" textlink="">
      <xdr:nvSpPr>
        <xdr:cNvPr id="7" name="TextBox 6">
          <a:extLst>
            <a:ext uri="{FF2B5EF4-FFF2-40B4-BE49-F238E27FC236}">
              <a16:creationId xmlns:a16="http://schemas.microsoft.com/office/drawing/2014/main" id="{47BAECD8-B0FD-29D5-C824-32C6BF77A2FA}"/>
            </a:ext>
          </a:extLst>
        </xdr:cNvPr>
        <xdr:cNvSpPr txBox="1"/>
      </xdr:nvSpPr>
      <xdr:spPr>
        <a:xfrm>
          <a:off x="1981200" y="18415000"/>
          <a:ext cx="5139267" cy="8551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Comento comentant</a:t>
          </a:r>
        </a:p>
      </xdr:txBody>
    </xdr:sp>
    <xdr:clientData/>
  </xdr:twoCellAnchor>
  <xdr:twoCellAnchor>
    <xdr:from>
      <xdr:col>2</xdr:col>
      <xdr:colOff>343778</xdr:colOff>
      <xdr:row>5</xdr:row>
      <xdr:rowOff>23395</xdr:rowOff>
    </xdr:from>
    <xdr:to>
      <xdr:col>7</xdr:col>
      <xdr:colOff>658517</xdr:colOff>
      <xdr:row>9</xdr:row>
      <xdr:rowOff>94074</xdr:rowOff>
    </xdr:to>
    <xdr:sp macro="" textlink="">
      <xdr:nvSpPr>
        <xdr:cNvPr id="5" name="TextBox 4">
          <a:hlinkClick xmlns:r="http://schemas.openxmlformats.org/officeDocument/2006/relationships" r:id="rId2"/>
          <a:extLst>
            <a:ext uri="{FF2B5EF4-FFF2-40B4-BE49-F238E27FC236}">
              <a16:creationId xmlns:a16="http://schemas.microsoft.com/office/drawing/2014/main" id="{40BE7DFB-12C8-7575-2BC0-075224D61272}"/>
            </a:ext>
          </a:extLst>
        </xdr:cNvPr>
        <xdr:cNvSpPr txBox="1"/>
      </xdr:nvSpPr>
      <xdr:spPr>
        <a:xfrm>
          <a:off x="3389426" y="1046451"/>
          <a:ext cx="5277147" cy="35161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100"/>
            <a:t>La normativa actual estipula</a:t>
          </a:r>
          <a:r>
            <a:rPr lang="en-GB" sz="1100" baseline="0"/>
            <a:t>,</a:t>
          </a:r>
        </a:p>
        <a:p>
          <a:pPr algn="ctr"/>
          <a:r>
            <a:rPr lang="en-GB" sz="1100" baseline="0"/>
            <a:t>Font : Boletín Oficial del Estado (https://www.boe.es/buscar/doc.php?id=BOE-A-2023-628)</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mn-lt"/>
              <a:ea typeface="+mn-ea"/>
              <a:cs typeface="+mn-cs"/>
            </a:rPr>
            <a:t>"</a:t>
          </a:r>
          <a:r>
            <a:rPr lang="en-GB" sz="1100" b="0" i="1">
              <a:solidFill>
                <a:schemeClr val="dk1"/>
              </a:solidFill>
              <a:effectLst/>
              <a:latin typeface="+mn-lt"/>
              <a:ea typeface="+mn-ea"/>
              <a:cs typeface="+mn-cs"/>
            </a:rPr>
            <a:t>Real Decreto 3/2023, de 10 de enero, por el que se establecen los criterios técnico-sanitarios de la calidad del agua de consumo, su control y suministro."</a:t>
          </a:r>
          <a:endParaRPr lang="en-GB" sz="1100" i="1" baseline="0"/>
        </a:p>
        <a:p>
          <a:pPr algn="ctr"/>
          <a:r>
            <a:rPr lang="en-GB" sz="1100" b="0" i="0">
              <a:solidFill>
                <a:schemeClr val="dk1"/>
              </a:solidFill>
              <a:effectLst/>
              <a:latin typeface="+mn-lt"/>
              <a:ea typeface="+mn-ea"/>
              <a:cs typeface="+mn-cs"/>
            </a:rPr>
            <a:t>"</a:t>
          </a:r>
          <a:r>
            <a:rPr lang="en-GB" sz="1100" b="0" i="1">
              <a:solidFill>
                <a:schemeClr val="dk1"/>
              </a:solidFill>
              <a:effectLst/>
              <a:latin typeface="+mn-lt"/>
              <a:ea typeface="+mn-ea"/>
              <a:cs typeface="+mn-cs"/>
            </a:rPr>
            <a:t>Tabla 7. Valores de referencia de los parámetros que caracterizan el agua." ... </a:t>
          </a:r>
          <a:r>
            <a:rPr lang="en-GB" sz="1100" b="0" i="0">
              <a:solidFill>
                <a:schemeClr val="dk1"/>
              </a:solidFill>
              <a:effectLst/>
              <a:latin typeface="+mn-lt"/>
              <a:ea typeface="+mn-ea"/>
              <a:cs typeface="+mn-cs"/>
            </a:rPr>
            <a:t>"</a:t>
          </a:r>
          <a:r>
            <a:rPr lang="en-GB" i="1">
              <a:effectLst/>
            </a:rPr>
            <a:t> </a:t>
          </a:r>
          <a:r>
            <a:rPr lang="en-GB" sz="1100" b="0" i="1">
              <a:solidFill>
                <a:schemeClr val="dk1"/>
              </a:solidFill>
              <a:effectLst/>
              <a:latin typeface="+mn-lt"/>
              <a:ea typeface="+mn-ea"/>
              <a:cs typeface="+mn-cs"/>
            </a:rPr>
            <a:t>Valor de referencia</a:t>
          </a:r>
          <a:r>
            <a:rPr lang="en-GB" sz="1100" b="0" i="1" baseline="0">
              <a:solidFill>
                <a:schemeClr val="dk1"/>
              </a:solidFill>
              <a:effectLst/>
              <a:latin typeface="+mn-lt"/>
              <a:ea typeface="+mn-ea"/>
              <a:cs typeface="+mn-cs"/>
            </a:rPr>
            <a:t> </a:t>
          </a:r>
          <a:r>
            <a:rPr lang="en-GB" sz="1100" b="0" i="0" baseline="0">
              <a:solidFill>
                <a:schemeClr val="dk1"/>
              </a:solidFill>
              <a:effectLst/>
              <a:latin typeface="+mn-lt"/>
              <a:ea typeface="+mn-ea"/>
              <a:cs typeface="+mn-cs"/>
            </a:rPr>
            <a:t>- </a:t>
          </a:r>
          <a:r>
            <a:rPr lang="en-GB" i="1">
              <a:effectLst/>
            </a:rPr>
            <a:t>Potasio</a:t>
          </a:r>
          <a:r>
            <a:rPr lang="en-GB" i="1" baseline="0">
              <a:effectLst/>
            </a:rPr>
            <a:t> </a:t>
          </a:r>
          <a:r>
            <a:rPr lang="en-GB" i="1">
              <a:effectLst/>
            </a:rPr>
            <a:t>10mg/L</a:t>
          </a:r>
          <a:r>
            <a:rPr lang="en-GB" sz="1100" b="0" i="0">
              <a:solidFill>
                <a:schemeClr val="dk1"/>
              </a:solidFill>
              <a:effectLst/>
              <a:latin typeface="+mn-lt"/>
              <a:ea typeface="+mn-ea"/>
              <a:cs typeface="+mn-cs"/>
            </a:rPr>
            <a:t>".</a:t>
          </a:r>
        </a:p>
        <a:p>
          <a:pPr algn="ctr"/>
          <a:endParaRPr lang="en-GB" sz="1100" b="0" i="0">
            <a:solidFill>
              <a:schemeClr val="dk1"/>
            </a:solidFill>
            <a:effectLst/>
            <a:latin typeface="+mn-lt"/>
            <a:ea typeface="+mn-ea"/>
            <a:cs typeface="+mn-cs"/>
          </a:endParaRPr>
        </a:p>
        <a:p>
          <a:pPr algn="ctr"/>
          <a:r>
            <a:rPr lang="en-GB" sz="1100" b="0" i="0">
              <a:solidFill>
                <a:schemeClr val="dk1"/>
              </a:solidFill>
              <a:effectLst/>
              <a:latin typeface="+mn-lt"/>
              <a:ea typeface="+mn-ea"/>
              <a:cs typeface="+mn-cs"/>
            </a:rPr>
            <a:t>Remarquem</a:t>
          </a:r>
          <a:r>
            <a:rPr lang="en-GB" sz="1100" b="0" i="0" baseline="0">
              <a:solidFill>
                <a:schemeClr val="dk1"/>
              </a:solidFill>
              <a:effectLst/>
              <a:latin typeface="+mn-lt"/>
              <a:ea typeface="+mn-ea"/>
              <a:cs typeface="+mn-cs"/>
            </a:rPr>
            <a:t> que se trata d'un "valor de referència" i no pas un límit estipulat, de fet la normativa actual no estipula res al respecte com a límit de la concentació de potassi en aigua potable. Ara bé si ens enderrerim a la normativa de 1990 tenim que,</a:t>
          </a:r>
        </a:p>
        <a:p>
          <a:pPr marL="0" marR="0" lvl="0" indent="0" algn="ctr" defTabSz="914400" eaLnBrk="1" fontAlgn="auto" latinLnBrk="0" hangingPunct="1">
            <a:lnSpc>
              <a:spcPct val="100000"/>
            </a:lnSpc>
            <a:spcBef>
              <a:spcPts val="0"/>
            </a:spcBef>
            <a:spcAft>
              <a:spcPts val="0"/>
            </a:spcAft>
            <a:buClrTx/>
            <a:buSzTx/>
            <a:buFontTx/>
            <a:buNone/>
            <a:tabLst/>
            <a:defRPr/>
          </a:pPr>
          <a:endParaRPr lang="en-GB" sz="1100"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baseline="0"/>
            <a:t>Font : Boletín Oficial del Estado (https://www.boe.es/buscar/doc.php?id=BOE-A-2023-628)</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t>"</a:t>
          </a:r>
          <a:r>
            <a:rPr lang="en-GB" sz="1100" b="0" i="0">
              <a:solidFill>
                <a:schemeClr val="dk1"/>
              </a:solidFill>
              <a:effectLst/>
              <a:latin typeface="+mn-lt"/>
              <a:ea typeface="+mn-ea"/>
              <a:cs typeface="+mn-cs"/>
            </a:rPr>
            <a:t>Real Decreto 1138/1990, de 14 de septiembre, por el que se aprueba la Reglamentación Técnico-Sanitaria para el abastecimiento y control de calidad de las aguas potables de consumo público."</a:t>
          </a:r>
          <a:r>
            <a:rPr lang="en-GB" sz="1100" b="0" i="0" baseline="0">
              <a:solidFill>
                <a:schemeClr val="dk1"/>
              </a:solidFill>
              <a:effectLst/>
              <a:latin typeface="+mn-lt"/>
              <a:ea typeface="+mn-ea"/>
              <a:cs typeface="+mn-cs"/>
            </a:rPr>
            <a:t>..." </a:t>
          </a:r>
          <a:r>
            <a:rPr lang="en-GB" sz="1100" b="0" i="1">
              <a:solidFill>
                <a:schemeClr val="dk1"/>
              </a:solidFill>
              <a:effectLst/>
              <a:latin typeface="+mn-lt"/>
              <a:ea typeface="+mn-ea"/>
              <a:cs typeface="+mn-cs"/>
            </a:rPr>
            <a:t>Valor de referencia</a:t>
          </a:r>
          <a:r>
            <a:rPr lang="en-GB" sz="1100" b="0" i="1" baseline="0">
              <a:solidFill>
                <a:schemeClr val="dk1"/>
              </a:solidFill>
              <a:effectLst/>
              <a:latin typeface="+mn-lt"/>
              <a:ea typeface="+mn-ea"/>
              <a:cs typeface="+mn-cs"/>
            </a:rPr>
            <a:t> </a:t>
          </a:r>
          <a:r>
            <a:rPr lang="en-GB" sz="1100" b="0" i="0" baseline="0">
              <a:solidFill>
                <a:schemeClr val="dk1"/>
              </a:solidFill>
              <a:effectLst/>
              <a:latin typeface="+mn-lt"/>
              <a:ea typeface="+mn-ea"/>
              <a:cs typeface="+mn-cs"/>
            </a:rPr>
            <a:t>- </a:t>
          </a:r>
          <a:r>
            <a:rPr lang="en-GB" i="1">
              <a:effectLst/>
            </a:rPr>
            <a:t>Potasio</a:t>
          </a:r>
          <a:r>
            <a:rPr lang="en-GB" i="1" baseline="0">
              <a:effectLst/>
            </a:rPr>
            <a:t> </a:t>
          </a:r>
          <a:r>
            <a:rPr lang="en-GB" i="1">
              <a:effectLst/>
            </a:rPr>
            <a:t>10mg/L" ... "Concentración máxima admisible - Potasio</a:t>
          </a:r>
          <a:r>
            <a:rPr lang="en-GB" i="1" baseline="0">
              <a:effectLst/>
            </a:rPr>
            <a:t> 12mg/L</a:t>
          </a:r>
          <a:r>
            <a:rPr lang="en-GB" i="1">
              <a:effectLst/>
            </a:rPr>
            <a:t>".</a:t>
          </a:r>
        </a:p>
        <a:p>
          <a:pPr marL="0" marR="0" lvl="0" indent="0" algn="ctr" defTabSz="914400" eaLnBrk="1" fontAlgn="auto" latinLnBrk="0" hangingPunct="1">
            <a:lnSpc>
              <a:spcPct val="100000"/>
            </a:lnSpc>
            <a:spcBef>
              <a:spcPts val="0"/>
            </a:spcBef>
            <a:spcAft>
              <a:spcPts val="0"/>
            </a:spcAft>
            <a:buClrTx/>
            <a:buSzTx/>
            <a:buFontTx/>
            <a:buNone/>
            <a:tabLst/>
            <a:defRPr/>
          </a:pPr>
          <a:endParaRPr lang="en-GB" i="1">
            <a:effectLst/>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GB" sz="1100" b="0" i="0">
              <a:solidFill>
                <a:schemeClr val="dk1"/>
              </a:solidFill>
              <a:effectLst/>
              <a:latin typeface="+mn-lt"/>
              <a:ea typeface="+mn-ea"/>
              <a:cs typeface="+mn-cs"/>
            </a:rPr>
            <a:t>Tot i que aquesta normativa fou revocada al 22 de febrer de 2003.</a:t>
          </a: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B08C8-5267-41A1-8A30-44F36ECBD8D8}">
  <dimension ref="A1:M71"/>
  <sheetViews>
    <sheetView showGridLines="0" tabSelected="1" topLeftCell="A30" zoomScale="108" zoomScaleNormal="100" workbookViewId="0">
      <selection activeCell="O38" sqref="O38"/>
    </sheetView>
  </sheetViews>
  <sheetFormatPr baseColWidth="10" defaultColWidth="11.5" defaultRowHeight="23.25" customHeight="1" x14ac:dyDescent="0.2"/>
  <cols>
    <col min="1" max="1" width="25.83203125" style="2" customWidth="1"/>
    <col min="2" max="2" width="14.1640625" style="2" customWidth="1"/>
    <col min="3" max="3" width="12.6640625" style="2" customWidth="1"/>
    <col min="4" max="4" width="15.5" style="2" bestFit="1" customWidth="1"/>
    <col min="5" max="5" width="13.83203125" style="2" customWidth="1"/>
    <col min="6" max="6" width="11.5" style="2" customWidth="1"/>
    <col min="7" max="16384" width="11.5" style="2"/>
  </cols>
  <sheetData>
    <row r="1" spans="1:6" ht="21" customHeight="1" x14ac:dyDescent="0.2">
      <c r="A1" s="3" t="s">
        <v>18</v>
      </c>
      <c r="E1" s="4" t="s">
        <v>0</v>
      </c>
      <c r="F1" s="23">
        <v>45790</v>
      </c>
    </row>
    <row r="2" spans="1:6" s="5" customFormat="1" ht="15" customHeight="1" x14ac:dyDescent="0.2">
      <c r="A2" s="4" t="s">
        <v>1</v>
      </c>
      <c r="B2" s="22" t="s">
        <v>37</v>
      </c>
      <c r="E2" s="4" t="s">
        <v>2</v>
      </c>
      <c r="F2" s="5" t="s">
        <v>39</v>
      </c>
    </row>
    <row r="3" spans="1:6" s="5" customFormat="1" ht="15" customHeight="1" x14ac:dyDescent="0.2">
      <c r="A3" s="4" t="s">
        <v>3</v>
      </c>
      <c r="B3" s="5" t="s">
        <v>38</v>
      </c>
    </row>
    <row r="4" spans="1:6" s="5" customFormat="1" ht="15" customHeight="1" x14ac:dyDescent="0.2">
      <c r="A4" s="4"/>
    </row>
    <row r="5" spans="1:6" s="5" customFormat="1" ht="15" customHeight="1" x14ac:dyDescent="0.2">
      <c r="A5" s="4" t="s">
        <v>4</v>
      </c>
    </row>
    <row r="6" spans="1:6" ht="15" customHeight="1" x14ac:dyDescent="0.2">
      <c r="A6" s="6"/>
    </row>
    <row r="7" spans="1:6" ht="15" customHeight="1" x14ac:dyDescent="0.2">
      <c r="A7" s="6"/>
    </row>
    <row r="8" spans="1:6" ht="58" customHeight="1" x14ac:dyDescent="0.2">
      <c r="A8" s="6"/>
    </row>
    <row r="9" spans="1:6" ht="183" customHeight="1" x14ac:dyDescent="0.2"/>
    <row r="10" spans="1:6" ht="34" customHeight="1" x14ac:dyDescent="0.2">
      <c r="A10" s="4" t="s">
        <v>6</v>
      </c>
    </row>
    <row r="16" spans="1:6" ht="134" customHeight="1" x14ac:dyDescent="0.2"/>
    <row r="18" spans="1:3" ht="23.25" customHeight="1" x14ac:dyDescent="0.2">
      <c r="A18" s="4" t="s">
        <v>19</v>
      </c>
    </row>
    <row r="20" spans="1:3" ht="23.25" customHeight="1" x14ac:dyDescent="0.2">
      <c r="A20" s="1" t="s">
        <v>20</v>
      </c>
      <c r="B20" s="7"/>
      <c r="C20" s="1" t="s">
        <v>27</v>
      </c>
    </row>
    <row r="21" spans="1:3" ht="23.25" customHeight="1" x14ac:dyDescent="0.2">
      <c r="A21" s="1" t="s">
        <v>32</v>
      </c>
      <c r="B21" s="24"/>
    </row>
    <row r="22" spans="1:3" ht="23.25" customHeight="1" x14ac:dyDescent="0.2">
      <c r="A22" s="1" t="s">
        <v>33</v>
      </c>
      <c r="B22" s="25" t="e">
        <f>B20*(39.098/74.56)*10^3/(B21*10^(-3))</f>
        <v>#DIV/0!</v>
      </c>
      <c r="C22" s="1" t="s">
        <v>5</v>
      </c>
    </row>
    <row r="25" spans="1:3" ht="23.25" customHeight="1" x14ac:dyDescent="0.2">
      <c r="A25" s="4" t="s">
        <v>24</v>
      </c>
    </row>
    <row r="27" spans="1:3" ht="23.25" customHeight="1" x14ac:dyDescent="0.2">
      <c r="A27" s="1" t="s">
        <v>26</v>
      </c>
      <c r="B27" s="26"/>
    </row>
    <row r="28" spans="1:3" ht="23.25" customHeight="1" x14ac:dyDescent="0.2">
      <c r="A28" s="1" t="s">
        <v>25</v>
      </c>
      <c r="B28" s="24"/>
      <c r="C28" s="1" t="s">
        <v>40</v>
      </c>
    </row>
    <row r="29" spans="1:3" ht="23.25" customHeight="1" x14ac:dyDescent="0.2">
      <c r="A29" s="1" t="s">
        <v>30</v>
      </c>
      <c r="B29" s="24" t="e">
        <f>B27*(6.939/42.39)*10^3/(B28*10^(-3))</f>
        <v>#DIV/0!</v>
      </c>
      <c r="C29" s="1" t="s">
        <v>5</v>
      </c>
    </row>
    <row r="31" spans="1:3" ht="23.25" customHeight="1" x14ac:dyDescent="0.2">
      <c r="A31" s="6" t="s">
        <v>34</v>
      </c>
    </row>
    <row r="32" spans="1:3" ht="23.25" customHeight="1" x14ac:dyDescent="0.2">
      <c r="A32" s="1" t="s">
        <v>28</v>
      </c>
      <c r="B32" s="27" t="e">
        <f>B29/2</f>
        <v>#DIV/0!</v>
      </c>
      <c r="C32" s="1" t="s">
        <v>5</v>
      </c>
    </row>
    <row r="33" spans="1:13" ht="23.25" customHeight="1" x14ac:dyDescent="0.2">
      <c r="A33" s="1" t="s">
        <v>29</v>
      </c>
      <c r="B33" s="28">
        <f>25/2</f>
        <v>12.5</v>
      </c>
      <c r="C33" s="1" t="s">
        <v>40</v>
      </c>
    </row>
    <row r="35" spans="1:13" ht="23.25" customHeight="1" x14ac:dyDescent="0.2">
      <c r="A35" s="4" t="s">
        <v>21</v>
      </c>
    </row>
    <row r="37" spans="1:13" ht="23.25" customHeight="1" x14ac:dyDescent="0.15">
      <c r="A37" s="1" t="s">
        <v>35</v>
      </c>
      <c r="B37" s="7" t="s">
        <v>32</v>
      </c>
      <c r="C37" s="7" t="s">
        <v>7</v>
      </c>
      <c r="D37" s="7" t="s">
        <v>41</v>
      </c>
      <c r="E37" s="7" t="s">
        <v>22</v>
      </c>
      <c r="J37" s="37" t="s">
        <v>51</v>
      </c>
      <c r="K37" s="37"/>
      <c r="L37" s="37"/>
      <c r="M37" s="37"/>
    </row>
    <row r="38" spans="1:13" ht="23.25" customHeight="1" x14ac:dyDescent="0.2">
      <c r="A38" s="29" t="e">
        <f>$B$22/10/10</f>
        <v>#DIV/0!</v>
      </c>
      <c r="B38" s="24"/>
      <c r="C38" s="24"/>
      <c r="D38" s="24" t="e">
        <f>A38*B38/C38</f>
        <v>#DIV/0!</v>
      </c>
      <c r="E38" s="7"/>
      <c r="J38" s="30" t="s">
        <v>52</v>
      </c>
      <c r="K38" s="31" t="e" cm="1">
        <f t="array" ref="K38">LINEST(E38:E42,D38:D42,1,1)</f>
        <v>#VALUE!</v>
      </c>
      <c r="L38" s="31"/>
      <c r="M38" s="32" t="s">
        <v>15</v>
      </c>
    </row>
    <row r="39" spans="1:13" ht="23.25" customHeight="1" x14ac:dyDescent="0.2">
      <c r="A39" s="29" t="e">
        <f>$B$22/10/10</f>
        <v>#DIV/0!</v>
      </c>
      <c r="B39" s="24"/>
      <c r="C39" s="24"/>
      <c r="D39" s="24" t="e">
        <f>A39*B39/C39</f>
        <v>#DIV/0!</v>
      </c>
      <c r="E39" s="7"/>
      <c r="J39" s="30" t="s">
        <v>53</v>
      </c>
      <c r="K39" s="31"/>
      <c r="L39" s="31"/>
      <c r="M39" s="32" t="s">
        <v>54</v>
      </c>
    </row>
    <row r="40" spans="1:13" ht="23.25" customHeight="1" x14ac:dyDescent="0.2">
      <c r="A40" s="29" t="e">
        <f>$B$22/10/10</f>
        <v>#DIV/0!</v>
      </c>
      <c r="B40" s="24"/>
      <c r="C40" s="24"/>
      <c r="D40" s="24" t="e">
        <f>A40*B40/C40</f>
        <v>#DIV/0!</v>
      </c>
      <c r="E40" s="7"/>
      <c r="J40" s="30" t="s">
        <v>44</v>
      </c>
      <c r="K40" s="33"/>
      <c r="L40" s="31"/>
      <c r="M40" s="32" t="s">
        <v>45</v>
      </c>
    </row>
    <row r="41" spans="1:13" ht="23.25" customHeight="1" x14ac:dyDescent="0.2">
      <c r="A41" s="29" t="e">
        <f>$B$22/10/10</f>
        <v>#DIV/0!</v>
      </c>
      <c r="B41" s="24"/>
      <c r="C41" s="24"/>
      <c r="D41" s="24" t="e">
        <f>A41*B41/C41</f>
        <v>#DIV/0!</v>
      </c>
      <c r="E41" s="7"/>
      <c r="J41" s="30" t="s">
        <v>46</v>
      </c>
      <c r="K41" s="32"/>
      <c r="L41" s="32"/>
      <c r="M41" s="32" t="s">
        <v>47</v>
      </c>
    </row>
    <row r="42" spans="1:13" ht="23.25" customHeight="1" x14ac:dyDescent="0.2">
      <c r="A42" s="29" t="e">
        <f>$B$22/10/10</f>
        <v>#DIV/0!</v>
      </c>
      <c r="B42" s="24"/>
      <c r="C42" s="24"/>
      <c r="D42" s="24" t="e">
        <f>A42*B42/C42</f>
        <v>#DIV/0!</v>
      </c>
      <c r="E42" s="7"/>
      <c r="J42" s="30" t="s">
        <v>48</v>
      </c>
      <c r="K42" s="32"/>
      <c r="L42" s="32"/>
      <c r="M42" s="32" t="s">
        <v>49</v>
      </c>
    </row>
    <row r="43" spans="1:13" ht="23.25" customHeight="1" x14ac:dyDescent="0.2">
      <c r="B43" s="21"/>
      <c r="C43" s="21"/>
      <c r="D43" s="21"/>
      <c r="E43" s="21"/>
    </row>
    <row r="46" spans="1:13" ht="23.25" customHeight="1" x14ac:dyDescent="0.2">
      <c r="A46" s="9" t="s">
        <v>12</v>
      </c>
      <c r="B46" s="1" t="s">
        <v>13</v>
      </c>
      <c r="C46" s="38" t="s">
        <v>56</v>
      </c>
      <c r="D46" s="39"/>
      <c r="E46" s="1" t="s">
        <v>17</v>
      </c>
      <c r="F46" s="29">
        <f>L40</f>
        <v>0</v>
      </c>
      <c r="K46" s="1" t="s">
        <v>42</v>
      </c>
      <c r="L46" s="34" t="e">
        <f>AVERAGE(E38:E42)</f>
        <v>#DIV/0!</v>
      </c>
    </row>
    <row r="47" spans="1:13" ht="23.25" customHeight="1" x14ac:dyDescent="0.2">
      <c r="A47" s="11"/>
      <c r="B47" s="1" t="s">
        <v>14</v>
      </c>
      <c r="C47" s="38" t="s">
        <v>55</v>
      </c>
      <c r="D47" s="39"/>
      <c r="E47" s="1" t="s">
        <v>15</v>
      </c>
      <c r="F47" s="25">
        <f>COUNT(D38:D42)</f>
        <v>0</v>
      </c>
      <c r="K47" s="1" t="s">
        <v>43</v>
      </c>
      <c r="L47" s="35" t="e">
        <f>VARPA(D38:D42)*F47</f>
        <v>#DIV/0!</v>
      </c>
    </row>
    <row r="48" spans="1:13" ht="23.25" customHeight="1" x14ac:dyDescent="0.2">
      <c r="A48" s="12"/>
      <c r="F48" s="13"/>
      <c r="K48" s="1" t="s">
        <v>57</v>
      </c>
      <c r="L48" s="28" t="e">
        <f>L40/K38*SQRT(1+1/F47+(C65-L46)^2/(K38^2*L47))</f>
        <v>#VALUE!</v>
      </c>
    </row>
    <row r="49" spans="1:12" ht="23.25" customHeight="1" x14ac:dyDescent="0.2">
      <c r="A49" s="12"/>
      <c r="F49" s="13"/>
      <c r="K49" s="1" t="s">
        <v>58</v>
      </c>
      <c r="L49" s="28" t="e">
        <f>L40/K38*SQRT(1+1/F47+(C68-L46)^2/(K38^2*L47))</f>
        <v>#VALUE!</v>
      </c>
    </row>
    <row r="50" spans="1:12" ht="23.25" customHeight="1" x14ac:dyDescent="0.2">
      <c r="A50" s="12"/>
      <c r="F50" s="13"/>
      <c r="K50" s="1" t="s">
        <v>50</v>
      </c>
      <c r="L50" s="34" t="e">
        <f>_xlfn.T.INV.2T(0.05,L41)</f>
        <v>#NUM!</v>
      </c>
    </row>
    <row r="51" spans="1:12" ht="23.25" customHeight="1" x14ac:dyDescent="0.2">
      <c r="A51" s="12"/>
      <c r="F51" s="13"/>
    </row>
    <row r="52" spans="1:12" ht="23.25" customHeight="1" x14ac:dyDescent="0.2">
      <c r="A52" s="12"/>
      <c r="F52" s="13"/>
    </row>
    <row r="53" spans="1:12" ht="23.25" customHeight="1" x14ac:dyDescent="0.2">
      <c r="A53" s="12"/>
      <c r="F53" s="13"/>
    </row>
    <row r="54" spans="1:12" ht="23.25" customHeight="1" x14ac:dyDescent="0.2">
      <c r="A54" s="12"/>
      <c r="F54" s="13"/>
    </row>
    <row r="55" spans="1:12" ht="23.25" customHeight="1" x14ac:dyDescent="0.2">
      <c r="A55" s="12"/>
      <c r="F55" s="13"/>
    </row>
    <row r="56" spans="1:12" ht="23.25" customHeight="1" x14ac:dyDescent="0.2">
      <c r="A56" s="12"/>
      <c r="F56" s="13"/>
    </row>
    <row r="57" spans="1:12" ht="23.25" customHeight="1" x14ac:dyDescent="0.2">
      <c r="A57" s="12"/>
      <c r="F57" s="13"/>
    </row>
    <row r="58" spans="1:12" ht="23.25" customHeight="1" x14ac:dyDescent="0.2">
      <c r="A58" s="12"/>
      <c r="F58" s="13"/>
    </row>
    <row r="59" spans="1:12" ht="23.25" customHeight="1" x14ac:dyDescent="0.2">
      <c r="A59" s="11"/>
      <c r="B59" s="14"/>
      <c r="C59" s="14"/>
      <c r="D59" s="14"/>
      <c r="E59" s="14"/>
      <c r="F59" s="15"/>
    </row>
    <row r="60" spans="1:12" ht="23.25" customHeight="1" x14ac:dyDescent="0.2">
      <c r="A60" s="40" t="s">
        <v>16</v>
      </c>
      <c r="B60" s="43"/>
      <c r="C60" s="40"/>
      <c r="D60" s="40"/>
      <c r="E60" s="40"/>
      <c r="F60" s="44"/>
    </row>
    <row r="61" spans="1:12" ht="23.25" customHeight="1" x14ac:dyDescent="0.2">
      <c r="A61" s="41"/>
      <c r="B61" s="45"/>
      <c r="C61" s="41"/>
      <c r="D61" s="41"/>
      <c r="E61" s="41"/>
      <c r="F61" s="46"/>
    </row>
    <row r="62" spans="1:12" ht="23.25" customHeight="1" x14ac:dyDescent="0.2">
      <c r="A62" s="42"/>
      <c r="B62" s="47"/>
      <c r="C62" s="42"/>
      <c r="D62" s="42"/>
      <c r="E62" s="42"/>
      <c r="F62" s="48"/>
    </row>
    <row r="64" spans="1:12" ht="23.25" customHeight="1" x14ac:dyDescent="0.2">
      <c r="B64" s="1" t="s">
        <v>8</v>
      </c>
      <c r="C64" s="1" t="s">
        <v>23</v>
      </c>
      <c r="D64" s="1" t="s">
        <v>9</v>
      </c>
      <c r="E64" s="1" t="s">
        <v>10</v>
      </c>
    </row>
    <row r="65" spans="1:6" ht="23.25" customHeight="1" x14ac:dyDescent="0.2">
      <c r="A65" s="8" t="s">
        <v>11</v>
      </c>
      <c r="B65" s="1"/>
      <c r="C65" s="1"/>
      <c r="D65" s="1"/>
      <c r="E65" s="1"/>
    </row>
    <row r="67" spans="1:6" ht="23.25" customHeight="1" x14ac:dyDescent="0.2">
      <c r="A67" s="19" t="s">
        <v>36</v>
      </c>
      <c r="B67" s="16"/>
      <c r="C67" s="17"/>
      <c r="D67" s="18"/>
      <c r="E67" s="10"/>
    </row>
    <row r="69" spans="1:6" ht="23.25" customHeight="1" x14ac:dyDescent="0.15">
      <c r="A69" s="20" t="s">
        <v>31</v>
      </c>
      <c r="B69" s="21"/>
      <c r="C69" s="21"/>
      <c r="D69" s="21"/>
      <c r="E69" s="21"/>
      <c r="F69" s="21"/>
    </row>
    <row r="70" spans="1:6" ht="130.5" customHeight="1" x14ac:dyDescent="0.2">
      <c r="A70" s="36"/>
      <c r="B70" s="36"/>
      <c r="C70" s="36"/>
      <c r="D70" s="36"/>
      <c r="E70" s="36"/>
      <c r="F70" s="36"/>
    </row>
    <row r="71" spans="1:6" ht="23.25" customHeight="1" x14ac:dyDescent="0.2">
      <c r="A71" s="21"/>
      <c r="B71" s="21"/>
      <c r="C71" s="21"/>
      <c r="D71" s="21"/>
      <c r="E71" s="21"/>
      <c r="F71" s="21"/>
    </row>
  </sheetData>
  <mergeCells count="6">
    <mergeCell ref="A70:F70"/>
    <mergeCell ref="J37:M37"/>
    <mergeCell ref="C46:D46"/>
    <mergeCell ref="C47:D47"/>
    <mergeCell ref="A60:A62"/>
    <mergeCell ref="B60:F62"/>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05755-B3F4-A041-8801-ACD56112111B}">
  <dimension ref="A1"/>
  <sheetViews>
    <sheetView workbookViewId="0"/>
  </sheetViews>
  <sheetFormatPr baseColWidth="10" defaultColWidth="11.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Pràctica A</vt:lpstr>
      <vt:lpstr>Càlculs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IGNASI</dc:creator>
  <cp:keywords/>
  <dc:description/>
  <cp:lastModifiedBy>Sergio Castañeiras Morales</cp:lastModifiedBy>
  <cp:revision/>
  <dcterms:created xsi:type="dcterms:W3CDTF">2021-03-22T14:48:22Z</dcterms:created>
  <dcterms:modified xsi:type="dcterms:W3CDTF">2025-05-12T13:58:15Z</dcterms:modified>
  <cp:category/>
  <cp:contentStatus/>
</cp:coreProperties>
</file>